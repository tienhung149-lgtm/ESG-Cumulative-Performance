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8" documentId="8_{0C617538-DE18-49C0-928F-E9CF29033FD4}" xr6:coauthVersionLast="47" xr6:coauthVersionMax="47" xr10:uidLastSave="{7C156A38-FEB4-467C-A5E8-3936BCFE7DAF}"/>
  <bookViews>
    <workbookView xWindow="-110" yWindow="-110" windowWidth="19420" windowHeight="11500" xr2:uid="{00000000-000D-0000-FFFF-FFFF00000000}"/>
  </bookViews>
  <sheets>
    <sheet name="Assessment Scores" sheetId="1" r:id="rId1"/>
    <sheet name="sector-factor" sheetId="2" r:id="rId2"/>
    <sheet name="send" sheetId="3" r:id="rId3"/>
    <sheet name="ESG-ETF" sheetId="4" r:id="rId4"/>
  </sheets>
  <definedNames>
    <definedName name="_xlnm._FilterDatabase" localSheetId="0" hidden="1">'Assessment Scores'!$A$1:$J$194</definedName>
    <definedName name="_xlnm._FilterDatabase" localSheetId="2" hidden="1">send!$A$1:$F$194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E42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2" i="1"/>
  <c r="E46" i="1"/>
  <c r="D13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E2" i="1"/>
  <c r="D2" i="1"/>
  <c r="K18" i="1" l="1"/>
  <c r="K17" i="1"/>
  <c r="K170" i="1"/>
  <c r="K122" i="1"/>
  <c r="E9" i="4" s="1"/>
  <c r="K169" i="1"/>
  <c r="K153" i="1"/>
  <c r="K121" i="1"/>
  <c r="E20" i="4" s="1"/>
  <c r="K89" i="1"/>
  <c r="K57" i="1"/>
  <c r="K40" i="1"/>
  <c r="K154" i="1"/>
  <c r="K106" i="1"/>
  <c r="E4" i="4" s="1"/>
  <c r="K74" i="1"/>
  <c r="K42" i="1"/>
  <c r="K185" i="1"/>
  <c r="K137" i="1"/>
  <c r="K73" i="1"/>
  <c r="K24" i="1"/>
  <c r="K138" i="1"/>
  <c r="K90" i="1"/>
  <c r="K58" i="1"/>
  <c r="K105" i="1"/>
  <c r="K186" i="1"/>
  <c r="K26" i="1"/>
  <c r="K31" i="1"/>
  <c r="K184" i="1"/>
  <c r="E37" i="4" s="1"/>
  <c r="K88" i="1"/>
  <c r="K14" i="1"/>
  <c r="K120" i="1"/>
  <c r="E16" i="4" s="1"/>
  <c r="K25" i="1"/>
  <c r="K168" i="1"/>
  <c r="K136" i="1"/>
  <c r="K104" i="1"/>
  <c r="K39" i="1"/>
  <c r="K23" i="1"/>
  <c r="K149" i="1"/>
  <c r="K85" i="1"/>
  <c r="K72" i="1"/>
  <c r="K56" i="1"/>
  <c r="E30" i="4" s="1"/>
  <c r="K41" i="1"/>
  <c r="K152" i="1"/>
  <c r="K194" i="1"/>
  <c r="K178" i="1"/>
  <c r="E22" i="4" s="1"/>
  <c r="K162" i="1"/>
  <c r="K146" i="1"/>
  <c r="K130" i="1"/>
  <c r="K114" i="1"/>
  <c r="E12" i="4" s="1"/>
  <c r="K98" i="1"/>
  <c r="K82" i="1"/>
  <c r="K66" i="1"/>
  <c r="E33" i="4" s="1"/>
  <c r="K50" i="1"/>
  <c r="K182" i="1"/>
  <c r="K159" i="1"/>
  <c r="K47" i="1"/>
  <c r="K111" i="1"/>
  <c r="E6" i="4" s="1"/>
  <c r="K158" i="1"/>
  <c r="K71" i="1"/>
  <c r="K175" i="1"/>
  <c r="K127" i="1"/>
  <c r="K95" i="1"/>
  <c r="K63" i="1"/>
  <c r="K7" i="1"/>
  <c r="K190" i="1"/>
  <c r="K142" i="1"/>
  <c r="K126" i="1"/>
  <c r="K110" i="1"/>
  <c r="E18" i="4" s="1"/>
  <c r="K94" i="1"/>
  <c r="E36" i="4" s="1"/>
  <c r="K62" i="1"/>
  <c r="K30" i="1"/>
  <c r="K15" i="1"/>
  <c r="K6" i="1"/>
  <c r="K188" i="1"/>
  <c r="K172" i="1"/>
  <c r="K156" i="1"/>
  <c r="K140" i="1"/>
  <c r="E28" i="4" s="1"/>
  <c r="K124" i="1"/>
  <c r="K108" i="1"/>
  <c r="E17" i="4" s="1"/>
  <c r="K92" i="1"/>
  <c r="E13" i="4" s="1"/>
  <c r="K76" i="1"/>
  <c r="K60" i="1"/>
  <c r="K44" i="1"/>
  <c r="K28" i="1"/>
  <c r="K150" i="1"/>
  <c r="K191" i="1"/>
  <c r="K143" i="1"/>
  <c r="K79" i="1"/>
  <c r="K16" i="1"/>
  <c r="K174" i="1"/>
  <c r="K78" i="1"/>
  <c r="K189" i="1"/>
  <c r="K173" i="1"/>
  <c r="E15" i="4" s="1"/>
  <c r="K157" i="1"/>
  <c r="K141" i="1"/>
  <c r="K125" i="1"/>
  <c r="K109" i="1"/>
  <c r="E19" i="4" s="1"/>
  <c r="K93" i="1"/>
  <c r="K77" i="1"/>
  <c r="K61" i="1"/>
  <c r="K45" i="1"/>
  <c r="K29" i="1"/>
  <c r="K187" i="1"/>
  <c r="E11" i="4" s="1"/>
  <c r="K171" i="1"/>
  <c r="K155" i="1"/>
  <c r="K139" i="1"/>
  <c r="E2" i="4" s="1"/>
  <c r="K123" i="1"/>
  <c r="K107" i="1"/>
  <c r="K91" i="1"/>
  <c r="K75" i="1"/>
  <c r="K59" i="1"/>
  <c r="K43" i="1"/>
  <c r="K27" i="1"/>
  <c r="K183" i="1"/>
  <c r="K151" i="1"/>
  <c r="K135" i="1"/>
  <c r="K119" i="1"/>
  <c r="K103" i="1"/>
  <c r="K87" i="1"/>
  <c r="K166" i="1"/>
  <c r="K134" i="1"/>
  <c r="K102" i="1"/>
  <c r="E14" i="4" s="1"/>
  <c r="K86" i="1"/>
  <c r="K70" i="1"/>
  <c r="K54" i="1"/>
  <c r="E26" i="4" s="1"/>
  <c r="K180" i="1"/>
  <c r="K164" i="1"/>
  <c r="K148" i="1"/>
  <c r="E31" i="4" s="1"/>
  <c r="K132" i="1"/>
  <c r="K116" i="1"/>
  <c r="E7" i="4" s="1"/>
  <c r="K100" i="1"/>
  <c r="K84" i="1"/>
  <c r="K68" i="1"/>
  <c r="K52" i="1"/>
  <c r="E32" i="4" s="1"/>
  <c r="K36" i="1"/>
  <c r="K4" i="1"/>
  <c r="K179" i="1"/>
  <c r="E10" i="4" s="1"/>
  <c r="K163" i="1"/>
  <c r="K147" i="1"/>
  <c r="E24" i="4" s="1"/>
  <c r="K131" i="1"/>
  <c r="K115" i="1"/>
  <c r="E5" i="4" s="1"/>
  <c r="K99" i="1"/>
  <c r="E3" i="4" s="1"/>
  <c r="K83" i="1"/>
  <c r="K67" i="1"/>
  <c r="K51" i="1"/>
  <c r="K35" i="1"/>
  <c r="K3" i="1"/>
  <c r="K118" i="1"/>
  <c r="E27" i="4" s="1"/>
  <c r="K22" i="1"/>
  <c r="K181" i="1"/>
  <c r="K165" i="1"/>
  <c r="K133" i="1"/>
  <c r="E40" i="4" s="1"/>
  <c r="K101" i="1"/>
  <c r="K53" i="1"/>
  <c r="K5" i="1"/>
  <c r="K9" i="1"/>
  <c r="K34" i="1"/>
  <c r="K117" i="1"/>
  <c r="E25" i="4" s="1"/>
  <c r="K69" i="1"/>
  <c r="K37" i="1"/>
  <c r="K145" i="1"/>
  <c r="E39" i="4" s="1"/>
  <c r="K129" i="1"/>
  <c r="K113" i="1"/>
  <c r="E21" i="4" s="1"/>
  <c r="K97" i="1"/>
  <c r="K81" i="1"/>
  <c r="K65" i="1"/>
  <c r="E35" i="4" s="1"/>
  <c r="K49" i="1"/>
  <c r="E23" i="4" s="1"/>
  <c r="K33" i="1"/>
  <c r="K167" i="1"/>
  <c r="K55" i="1"/>
  <c r="K38" i="1"/>
  <c r="K193" i="1"/>
  <c r="K177" i="1"/>
  <c r="K161" i="1"/>
  <c r="K192" i="1"/>
  <c r="K176" i="1"/>
  <c r="K160" i="1"/>
  <c r="K144" i="1"/>
  <c r="K128" i="1"/>
  <c r="K112" i="1"/>
  <c r="K96" i="1"/>
  <c r="E41" i="4" s="1"/>
  <c r="K80" i="1"/>
  <c r="K64" i="1"/>
  <c r="K48" i="1"/>
  <c r="K32" i="1"/>
  <c r="K21" i="1"/>
  <c r="E38" i="4" s="1"/>
  <c r="K12" i="1"/>
  <c r="K20" i="1"/>
  <c r="E8" i="4" s="1"/>
  <c r="K11" i="1"/>
  <c r="E29" i="4" s="1"/>
  <c r="K19" i="1"/>
  <c r="E34" i="4" s="1"/>
  <c r="K10" i="1"/>
  <c r="K8" i="1"/>
  <c r="D46" i="1"/>
  <c r="K46" i="1" s="1"/>
  <c r="E13" i="1"/>
  <c r="K13" i="1" s="1"/>
</calcChain>
</file>

<file path=xl/sharedStrings.xml><?xml version="1.0" encoding="utf-8"?>
<sst xmlns="http://schemas.openxmlformats.org/spreadsheetml/2006/main" count="1680" uniqueCount="257">
  <si>
    <t>No</t>
  </si>
  <si>
    <t>Ticker</t>
  </si>
  <si>
    <t>Sector</t>
  </si>
  <si>
    <t>E&amp;S Rate</t>
  </si>
  <si>
    <t>E&amp;S Rate Name</t>
  </si>
  <si>
    <t>CG Rate (%)</t>
  </si>
  <si>
    <t>CG Rate Name</t>
  </si>
  <si>
    <t>MSH</t>
  </si>
  <si>
    <t>Consumer Durables &amp; Apparel</t>
  </si>
  <si>
    <t>B</t>
  </si>
  <si>
    <t>Good</t>
  </si>
  <si>
    <t>Medium risk</t>
  </si>
  <si>
    <t>VPI</t>
  </si>
  <si>
    <t>Real Estate Management &amp; Development</t>
  </si>
  <si>
    <t>C</t>
  </si>
  <si>
    <t>Average</t>
  </si>
  <si>
    <t>VTZ</t>
  </si>
  <si>
    <t>POW</t>
  </si>
  <si>
    <t>Utilities</t>
  </si>
  <si>
    <t>D</t>
  </si>
  <si>
    <t>Need Improvement</t>
  </si>
  <si>
    <t>ASM</t>
  </si>
  <si>
    <t>DSE</t>
  </si>
  <si>
    <t>Financial Services</t>
  </si>
  <si>
    <t>VFS</t>
  </si>
  <si>
    <t>BAB</t>
  </si>
  <si>
    <t>Banks</t>
  </si>
  <si>
    <t>HCM</t>
  </si>
  <si>
    <t>BMP</t>
  </si>
  <si>
    <t>Capital Goods</t>
  </si>
  <si>
    <t>IJC</t>
  </si>
  <si>
    <t>TTN</t>
  </si>
  <si>
    <t>REE</t>
  </si>
  <si>
    <t>TAL</t>
  </si>
  <si>
    <t>ANV</t>
  </si>
  <si>
    <t>Food, Beverage &amp; Tobacco</t>
  </si>
  <si>
    <t>CSV</t>
  </si>
  <si>
    <t>Materials</t>
  </si>
  <si>
    <t>VNM</t>
  </si>
  <si>
    <t>A</t>
  </si>
  <si>
    <t>Excellent</t>
  </si>
  <si>
    <t>Low risk</t>
  </si>
  <si>
    <t>PVT</t>
  </si>
  <si>
    <t>Energy</t>
  </si>
  <si>
    <t>VJC</t>
  </si>
  <si>
    <t>Transportation</t>
  </si>
  <si>
    <t>PAN</t>
  </si>
  <si>
    <t>KSB</t>
  </si>
  <si>
    <t>E</t>
  </si>
  <si>
    <t>Inadmissable</t>
  </si>
  <si>
    <t>High risk</t>
  </si>
  <si>
    <t>VLB</t>
  </si>
  <si>
    <t>DDV</t>
  </si>
  <si>
    <t>NVL</t>
  </si>
  <si>
    <t>G36</t>
  </si>
  <si>
    <t>NT2</t>
  </si>
  <si>
    <t>BVS</t>
  </si>
  <si>
    <t>BVB</t>
  </si>
  <si>
    <t>AGR</t>
  </si>
  <si>
    <t>ORS</t>
  </si>
  <si>
    <t>AAS</t>
  </si>
  <si>
    <t>CTS</t>
  </si>
  <si>
    <t>VEA</t>
  </si>
  <si>
    <t>TVS</t>
  </si>
  <si>
    <t>PVI</t>
  </si>
  <si>
    <t>Insurance</t>
  </si>
  <si>
    <t>VTP</t>
  </si>
  <si>
    <t>TIG</t>
  </si>
  <si>
    <t>CTD</t>
  </si>
  <si>
    <t>F88</t>
  </si>
  <si>
    <t>VOS</t>
  </si>
  <si>
    <t>VLC</t>
  </si>
  <si>
    <t>VC3</t>
  </si>
  <si>
    <t>TNH</t>
  </si>
  <si>
    <t>Health Care Equipment &amp; Services</t>
  </si>
  <si>
    <t>KLB</t>
  </si>
  <si>
    <t>MML</t>
  </si>
  <si>
    <t>VGI</t>
  </si>
  <si>
    <t>KDC</t>
  </si>
  <si>
    <t>DBC</t>
  </si>
  <si>
    <t>DSC</t>
  </si>
  <si>
    <t>HDC</t>
  </si>
  <si>
    <t>HHV</t>
  </si>
  <si>
    <t>DIG</t>
  </si>
  <si>
    <t>SIP</t>
  </si>
  <si>
    <t>VIC</t>
  </si>
  <si>
    <t>BAF</t>
  </si>
  <si>
    <t>CII</t>
  </si>
  <si>
    <t>VCS</t>
  </si>
  <si>
    <t>FOX</t>
  </si>
  <si>
    <t>HVN</t>
  </si>
  <si>
    <t>BSR</t>
  </si>
  <si>
    <t>QNS</t>
  </si>
  <si>
    <t>BWE</t>
  </si>
  <si>
    <t>VGS</t>
  </si>
  <si>
    <t>CMG</t>
  </si>
  <si>
    <t>Software &amp; Services</t>
  </si>
  <si>
    <t>CTR</t>
  </si>
  <si>
    <t>VDS</t>
  </si>
  <si>
    <t>SHI</t>
  </si>
  <si>
    <t>C4G</t>
  </si>
  <si>
    <t>CEO</t>
  </si>
  <si>
    <t>PLC</t>
  </si>
  <si>
    <t>SAM</t>
  </si>
  <si>
    <t>SCR</t>
  </si>
  <si>
    <t>MSR</t>
  </si>
  <si>
    <t>PET</t>
  </si>
  <si>
    <t>NTL</t>
  </si>
  <si>
    <t>GIL</t>
  </si>
  <si>
    <t>GEG</t>
  </si>
  <si>
    <t>KHG</t>
  </si>
  <si>
    <t>CTF</t>
  </si>
  <si>
    <t>Consumer Discretionary Distribution &amp; Retail</t>
  </si>
  <si>
    <t>DBD</t>
  </si>
  <si>
    <t>Pharmaceuticals, Biotechnology &amp; Life Sciences</t>
  </si>
  <si>
    <t>DCL</t>
  </si>
  <si>
    <t>DNP</t>
  </si>
  <si>
    <t>ELC</t>
  </si>
  <si>
    <t>FCN</t>
  </si>
  <si>
    <t>SJS</t>
  </si>
  <si>
    <t>HAH</t>
  </si>
  <si>
    <t>SZC</t>
  </si>
  <si>
    <t>DGW</t>
  </si>
  <si>
    <t>Technology Hardware &amp; Equipment</t>
  </si>
  <si>
    <t>AAA</t>
  </si>
  <si>
    <t>NVB</t>
  </si>
  <si>
    <t>VIX</t>
  </si>
  <si>
    <t>FTS</t>
  </si>
  <si>
    <t>MBS</t>
  </si>
  <si>
    <t>SHS</t>
  </si>
  <si>
    <t>BSI</t>
  </si>
  <si>
    <t>VCI</t>
  </si>
  <si>
    <t>VND</t>
  </si>
  <si>
    <t>SSI</t>
  </si>
  <si>
    <t>MIG</t>
  </si>
  <si>
    <t>VPB</t>
  </si>
  <si>
    <t>VCB</t>
  </si>
  <si>
    <t>TPB</t>
  </si>
  <si>
    <t>TCB</t>
  </si>
  <si>
    <t>EVG</t>
  </si>
  <si>
    <t>ACB</t>
  </si>
  <si>
    <t>BID</t>
  </si>
  <si>
    <t>BVH</t>
  </si>
  <si>
    <t>CTG</t>
  </si>
  <si>
    <t>EIB</t>
  </si>
  <si>
    <t>STB</t>
  </si>
  <si>
    <t>VSC</t>
  </si>
  <si>
    <t>EVF</t>
  </si>
  <si>
    <t>HDB</t>
  </si>
  <si>
    <t>LPB</t>
  </si>
  <si>
    <t>MBB</t>
  </si>
  <si>
    <t>MSB</t>
  </si>
  <si>
    <t>NAB</t>
  </si>
  <si>
    <t>OCB</t>
  </si>
  <si>
    <t>SHB</t>
  </si>
  <si>
    <t>SSB</t>
  </si>
  <si>
    <t>PNJ</t>
  </si>
  <si>
    <t>VPL</t>
  </si>
  <si>
    <t>Consumer Services</t>
  </si>
  <si>
    <t>HAX</t>
  </si>
  <si>
    <t>TCD</t>
  </si>
  <si>
    <t>PVP</t>
  </si>
  <si>
    <t>LHG</t>
  </si>
  <si>
    <t>HPX</t>
  </si>
  <si>
    <t>APH</t>
  </si>
  <si>
    <t>TV2</t>
  </si>
  <si>
    <t>TOS</t>
  </si>
  <si>
    <t>TIP</t>
  </si>
  <si>
    <t>TNG</t>
  </si>
  <si>
    <t>ABB</t>
  </si>
  <si>
    <t>TLG</t>
  </si>
  <si>
    <t>Commercial &amp; Professional Services</t>
  </si>
  <si>
    <t>LCG</t>
  </si>
  <si>
    <t>HBC</t>
  </si>
  <si>
    <t>SMC</t>
  </si>
  <si>
    <t>FPT</t>
  </si>
  <si>
    <t>NTP</t>
  </si>
  <si>
    <t>HDG</t>
  </si>
  <si>
    <t>GEX</t>
  </si>
  <si>
    <t>SBT</t>
  </si>
  <si>
    <t>GEE</t>
  </si>
  <si>
    <t>SCS</t>
  </si>
  <si>
    <t>DPM</t>
  </si>
  <si>
    <t>TCH</t>
  </si>
  <si>
    <t>PLX</t>
  </si>
  <si>
    <t>OIL</t>
  </si>
  <si>
    <t>PHP</t>
  </si>
  <si>
    <t>DTD</t>
  </si>
  <si>
    <t>MCH</t>
  </si>
  <si>
    <t>VHC</t>
  </si>
  <si>
    <t>VGC</t>
  </si>
  <si>
    <t>PTB</t>
  </si>
  <si>
    <t>CTI</t>
  </si>
  <si>
    <t>DRC</t>
  </si>
  <si>
    <t>Automobiles &amp; Components</t>
  </si>
  <si>
    <t>NKG</t>
  </si>
  <si>
    <t>IDC</t>
  </si>
  <si>
    <t>HTD</t>
  </si>
  <si>
    <t>PC1</t>
  </si>
  <si>
    <t>VCG</t>
  </si>
  <si>
    <t>PDR</t>
  </si>
  <si>
    <t>BCM</t>
  </si>
  <si>
    <t>MSN</t>
  </si>
  <si>
    <t>GAS</t>
  </si>
  <si>
    <t>VHM</t>
  </si>
  <si>
    <t>DXG</t>
  </si>
  <si>
    <t>DXS</t>
  </si>
  <si>
    <t>SAB</t>
  </si>
  <si>
    <t>NLG</t>
  </si>
  <si>
    <t>AGG</t>
  </si>
  <si>
    <t>KBC</t>
  </si>
  <si>
    <t>PVD</t>
  </si>
  <si>
    <t>LAS</t>
  </si>
  <si>
    <t>IDI</t>
  </si>
  <si>
    <t>HSG</t>
  </si>
  <si>
    <t>PVS</t>
  </si>
  <si>
    <t>VRE</t>
  </si>
  <si>
    <t>KDH</t>
  </si>
  <si>
    <t>ACV</t>
  </si>
  <si>
    <t>DCM</t>
  </si>
  <si>
    <t>MWG</t>
  </si>
  <si>
    <t>HHS</t>
  </si>
  <si>
    <t>HPG</t>
  </si>
  <si>
    <t>FRT</t>
  </si>
  <si>
    <t>GMD</t>
  </si>
  <si>
    <t>DPG</t>
  </si>
  <si>
    <t>DGC</t>
  </si>
  <si>
    <t>DHC</t>
  </si>
  <si>
    <t>VIB</t>
  </si>
  <si>
    <t>BFC</t>
  </si>
  <si>
    <t>TCM</t>
  </si>
  <si>
    <t>VGT</t>
  </si>
  <si>
    <t>No.</t>
  </si>
  <si>
    <t>GICS Level 2 Sector</t>
  </si>
  <si>
    <t>E&amp;S Factor (%)</t>
  </si>
  <si>
    <t>CG Factor (%)</t>
  </si>
  <si>
    <t>Media &amp; Entertainment</t>
  </si>
  <si>
    <t>Household &amp; Personal Products</t>
  </si>
  <si>
    <t>Telecommunication Services</t>
  </si>
  <si>
    <t>Pseudo E&amp;S score</t>
  </si>
  <si>
    <t>Consolidated ESG score</t>
  </si>
  <si>
    <t xml:space="preserve"> Ticker </t>
  </si>
  <si>
    <t xml:space="preserve"> Sector </t>
  </si>
  <si>
    <t xml:space="preserve"> ESG score </t>
  </si>
  <si>
    <t>Weight</t>
  </si>
  <si>
    <t xml:space="preserve"> Software &amp; Services </t>
  </si>
  <si>
    <t xml:space="preserve"> Diversified Financials </t>
  </si>
  <si>
    <t xml:space="preserve"> Banks </t>
  </si>
  <si>
    <t xml:space="preserve"> Transportation </t>
  </si>
  <si>
    <t xml:space="preserve"> Consumer Durables &amp; Apparel </t>
  </si>
  <si>
    <t xml:space="preserve"> Real Estate </t>
  </si>
  <si>
    <t xml:space="preserve"> Insurance </t>
  </si>
  <si>
    <t xml:space="preserve"> Energy </t>
  </si>
  <si>
    <t xml:space="preserve"> Food, Beverage &amp; Tobacco </t>
  </si>
  <si>
    <t xml:space="preserve"> Capital Goods </t>
  </si>
  <si>
    <t xml:space="preserve"> Weighted Average ESG Score </t>
  </si>
  <si>
    <t>ESG score - 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</si>
</sst>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"/>
    <numFmt numFmtId="165" formatCode="0.0"/>
  </numFmts>
  <fonts count="4">
    <font>
      <sz val="11"/>
      <color theme="1"/>
      <name val="Calibri"/>
      <family val="2"/>
      <scheme val="minor"/>
    </font>
    <font>
      <b/>
      <sz val="12"/>
      <color rgb="FFFFFFFF"/>
      <name val="Manrope"/>
    </font>
    <font>
      <sz val="12"/>
      <name val="Manrope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478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8C9CA"/>
      </top>
      <bottom/>
      <diagonal/>
    </border>
    <border>
      <left/>
      <right style="thin">
        <color rgb="FFC8C9CA"/>
      </right>
      <top style="thin">
        <color rgb="FFC8C9CA"/>
      </top>
      <bottom/>
      <diagonal style="thin">
        <color rgb="FFC8C9CA"/>
      </diagonal>
    </border>
    <border>
      <left/>
      <right/>
      <top style="thin">
        <color rgb="FFC8C9CA"/>
      </top>
      <bottom style="thin">
        <color rgb="FFC8C9CA"/>
      </bottom>
      <diagonal/>
    </border>
    <border>
      <left/>
      <right style="thin">
        <color rgb="FFC8C9CA"/>
      </right>
      <top style="thin">
        <color rgb="FFC8C9CA"/>
      </top>
      <bottom style="thin">
        <color rgb="FFC8C9CA"/>
      </bottom>
      <diagonal style="thin">
        <color rgb="FFC8C9CA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9" fontId="0" fillId="0" borderId="5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10" fontId="0" fillId="0" borderId="0" xfId="0" applyNumberFormat="1"/>
    <xf numFmtId="0" fontId="0" fillId="4" borderId="0" xfId="0" applyFill="1"/>
    <xf numFmtId="165" fontId="0" fillId="4" borderId="0" xfId="0" applyNumberForma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showGridLines="0" tabSelected="1" topLeftCell="D1" workbookViewId="0">
      <selection activeCell="K2" sqref="K2"/>
    </sheetView>
  </sheetViews>
  <sheetFormatPr defaultRowHeight="14.5"/>
  <cols>
    <col min="1" max="1" width="8" customWidth="1"/>
    <col min="2" max="2" width="15" customWidth="1"/>
    <col min="3" max="3" width="31.26953125" customWidth="1"/>
    <col min="4" max="4" width="14.81640625" style="22" customWidth="1"/>
    <col min="5" max="5" width="18" style="22" customWidth="1"/>
    <col min="6" max="6" width="15.7265625" customWidth="1"/>
    <col min="7" max="7" width="23.54296875" customWidth="1"/>
    <col min="8" max="11" width="25" customWidth="1"/>
    <col min="13" max="13" width="17.7265625" customWidth="1"/>
    <col min="14" max="14" width="22.26953125" customWidth="1"/>
  </cols>
  <sheetData>
    <row r="1" spans="1:14" ht="25" customHeight="1">
      <c r="A1" s="1" t="s">
        <v>0</v>
      </c>
      <c r="B1" s="2" t="s">
        <v>1</v>
      </c>
      <c r="C1" s="2" t="s">
        <v>2</v>
      </c>
      <c r="D1" s="11" t="s">
        <v>234</v>
      </c>
      <c r="E1" s="11" t="s">
        <v>235</v>
      </c>
      <c r="F1" s="1" t="s">
        <v>3</v>
      </c>
      <c r="G1" s="11" t="s">
        <v>239</v>
      </c>
      <c r="H1" s="2" t="s">
        <v>4</v>
      </c>
      <c r="I1" s="1" t="s">
        <v>5</v>
      </c>
      <c r="J1" s="2" t="s">
        <v>6</v>
      </c>
      <c r="K1" s="11" t="s">
        <v>240</v>
      </c>
      <c r="M1" s="1" t="s">
        <v>3</v>
      </c>
      <c r="N1" s="1" t="s">
        <v>239</v>
      </c>
    </row>
    <row r="2" spans="1:14" ht="20.149999999999999" customHeight="1">
      <c r="A2" s="3">
        <v>1</v>
      </c>
      <c r="B2" s="4" t="s">
        <v>7</v>
      </c>
      <c r="C2" s="4" t="s">
        <v>8</v>
      </c>
      <c r="D2" s="3">
        <f>VLOOKUP(C2,'sector-factor'!$B$2:$D$23,2,FALSE)</f>
        <v>0.6</v>
      </c>
      <c r="E2" s="3">
        <f>VLOOKUP(C2,'sector-factor'!$B$2:$D$23,3,FALSE)</f>
        <v>0.4</v>
      </c>
      <c r="F2" s="3" t="s">
        <v>9</v>
      </c>
      <c r="G2" s="3">
        <f>VLOOKUP(F2,$M$2:$N$6,2,FALSE)</f>
        <v>70</v>
      </c>
      <c r="H2" s="4" t="s">
        <v>10</v>
      </c>
      <c r="I2" s="5">
        <v>64.5</v>
      </c>
      <c r="J2" s="6" t="s">
        <v>11</v>
      </c>
      <c r="K2" s="16">
        <f>G2*D2+I2*E2</f>
        <v>67.8</v>
      </c>
      <c r="M2" t="s">
        <v>39</v>
      </c>
      <c r="N2">
        <v>90</v>
      </c>
    </row>
    <row r="3" spans="1:14" ht="20.149999999999999" customHeight="1">
      <c r="A3" s="3">
        <v>2</v>
      </c>
      <c r="B3" s="4" t="s">
        <v>12</v>
      </c>
      <c r="C3" s="4" t="s">
        <v>13</v>
      </c>
      <c r="D3" s="3">
        <f>VLOOKUP(C3,'sector-factor'!$B$2:$D$23,2,FALSE)</f>
        <v>0.6</v>
      </c>
      <c r="E3" s="3">
        <f>VLOOKUP(C3,'sector-factor'!$B$2:$D$23,3,FALSE)</f>
        <v>0.4</v>
      </c>
      <c r="F3" s="3" t="s">
        <v>14</v>
      </c>
      <c r="G3" s="3">
        <f t="shared" ref="G3:G66" si="0">VLOOKUP(F3,$M$2:$N$6,2,FALSE)</f>
        <v>50</v>
      </c>
      <c r="H3" s="4" t="s">
        <v>15</v>
      </c>
      <c r="I3" s="5">
        <v>69.125</v>
      </c>
      <c r="J3" s="6" t="s">
        <v>11</v>
      </c>
      <c r="K3" s="16">
        <f t="shared" ref="K3:K66" si="1">G3*D3+I3*E3</f>
        <v>57.650000000000006</v>
      </c>
      <c r="M3" t="s">
        <v>9</v>
      </c>
      <c r="N3">
        <v>70</v>
      </c>
    </row>
    <row r="4" spans="1:14" ht="20.149999999999999" customHeight="1">
      <c r="A4" s="3">
        <v>3</v>
      </c>
      <c r="B4" s="4" t="s">
        <v>16</v>
      </c>
      <c r="C4" s="4" t="s">
        <v>8</v>
      </c>
      <c r="D4" s="3">
        <f>VLOOKUP(C4,'sector-factor'!$B$2:$D$23,2,FALSE)</f>
        <v>0.6</v>
      </c>
      <c r="E4" s="3">
        <f>VLOOKUP(C4,'sector-factor'!$B$2:$D$23,3,FALSE)</f>
        <v>0.4</v>
      </c>
      <c r="F4" s="3" t="s">
        <v>14</v>
      </c>
      <c r="G4" s="3">
        <f t="shared" si="0"/>
        <v>50</v>
      </c>
      <c r="H4" s="4" t="s">
        <v>15</v>
      </c>
      <c r="I4" s="5">
        <v>60.124999999999993</v>
      </c>
      <c r="J4" s="6" t="s">
        <v>11</v>
      </c>
      <c r="K4" s="16">
        <f t="shared" si="1"/>
        <v>54.05</v>
      </c>
      <c r="M4" t="s">
        <v>14</v>
      </c>
      <c r="N4">
        <v>50</v>
      </c>
    </row>
    <row r="5" spans="1:14" ht="20.149999999999999" customHeight="1">
      <c r="A5" s="3">
        <v>4</v>
      </c>
      <c r="B5" s="4" t="s">
        <v>17</v>
      </c>
      <c r="C5" s="4" t="s">
        <v>18</v>
      </c>
      <c r="D5" s="3">
        <f>VLOOKUP(C5,'sector-factor'!$B$2:$D$23,2,FALSE)</f>
        <v>0.7</v>
      </c>
      <c r="E5" s="3">
        <f>VLOOKUP(C5,'sector-factor'!$B$2:$D$23,3,FALSE)</f>
        <v>0.3</v>
      </c>
      <c r="F5" s="3" t="s">
        <v>19</v>
      </c>
      <c r="G5" s="3">
        <f t="shared" si="0"/>
        <v>30</v>
      </c>
      <c r="H5" s="4" t="s">
        <v>20</v>
      </c>
      <c r="I5" s="5">
        <v>65.375</v>
      </c>
      <c r="J5" s="6" t="s">
        <v>11</v>
      </c>
      <c r="K5" s="16">
        <f t="shared" si="1"/>
        <v>40.612499999999997</v>
      </c>
      <c r="M5" t="s">
        <v>19</v>
      </c>
      <c r="N5">
        <v>30</v>
      </c>
    </row>
    <row r="6" spans="1:14" ht="20.149999999999999" customHeight="1">
      <c r="A6" s="3">
        <v>5</v>
      </c>
      <c r="B6" s="4" t="s">
        <v>21</v>
      </c>
      <c r="C6" s="4" t="s">
        <v>13</v>
      </c>
      <c r="D6" s="3">
        <f>VLOOKUP(C6,'sector-factor'!$B$2:$D$23,2,FALSE)</f>
        <v>0.6</v>
      </c>
      <c r="E6" s="3">
        <f>VLOOKUP(C6,'sector-factor'!$B$2:$D$23,3,FALSE)</f>
        <v>0.4</v>
      </c>
      <c r="F6" s="3" t="s">
        <v>19</v>
      </c>
      <c r="G6" s="3">
        <f t="shared" si="0"/>
        <v>30</v>
      </c>
      <c r="H6" s="4" t="s">
        <v>20</v>
      </c>
      <c r="I6" s="5">
        <v>67.125</v>
      </c>
      <c r="J6" s="6" t="s">
        <v>11</v>
      </c>
      <c r="K6" s="16">
        <f t="shared" si="1"/>
        <v>44.85</v>
      </c>
      <c r="M6" t="s">
        <v>48</v>
      </c>
      <c r="N6">
        <v>0</v>
      </c>
    </row>
    <row r="7" spans="1:14" ht="20.149999999999999" customHeight="1">
      <c r="A7" s="3">
        <v>6</v>
      </c>
      <c r="B7" s="4" t="s">
        <v>22</v>
      </c>
      <c r="C7" s="4" t="s">
        <v>23</v>
      </c>
      <c r="D7" s="3">
        <f>VLOOKUP(C7,'sector-factor'!$B$2:$D$23,2,FALSE)</f>
        <v>0.3</v>
      </c>
      <c r="E7" s="3">
        <f>VLOOKUP(C7,'sector-factor'!$B$2:$D$23,3,FALSE)</f>
        <v>0.7</v>
      </c>
      <c r="F7" s="3" t="s">
        <v>14</v>
      </c>
      <c r="G7" s="3">
        <f t="shared" si="0"/>
        <v>50</v>
      </c>
      <c r="H7" s="4" t="s">
        <v>15</v>
      </c>
      <c r="I7" s="5">
        <v>66.875</v>
      </c>
      <c r="J7" s="6" t="s">
        <v>11</v>
      </c>
      <c r="K7" s="16">
        <f t="shared" si="1"/>
        <v>61.8125</v>
      </c>
    </row>
    <row r="8" spans="1:14" ht="20.149999999999999" customHeight="1">
      <c r="A8" s="3">
        <v>7</v>
      </c>
      <c r="B8" s="4" t="s">
        <v>24</v>
      </c>
      <c r="C8" s="4" t="s">
        <v>23</v>
      </c>
      <c r="D8" s="3">
        <f>VLOOKUP(C8,'sector-factor'!$B$2:$D$23,2,FALSE)</f>
        <v>0.3</v>
      </c>
      <c r="E8" s="3">
        <f>VLOOKUP(C8,'sector-factor'!$B$2:$D$23,3,FALSE)</f>
        <v>0.7</v>
      </c>
      <c r="F8" s="3" t="s">
        <v>14</v>
      </c>
      <c r="G8" s="3">
        <f t="shared" si="0"/>
        <v>50</v>
      </c>
      <c r="H8" s="4" t="s">
        <v>15</v>
      </c>
      <c r="I8" s="5">
        <v>62</v>
      </c>
      <c r="J8" s="6" t="s">
        <v>11</v>
      </c>
      <c r="K8" s="16">
        <f t="shared" si="1"/>
        <v>58.4</v>
      </c>
    </row>
    <row r="9" spans="1:14" ht="20.149999999999999" customHeight="1">
      <c r="A9" s="3">
        <v>8</v>
      </c>
      <c r="B9" s="4" t="s">
        <v>25</v>
      </c>
      <c r="C9" s="4" t="s">
        <v>26</v>
      </c>
      <c r="D9" s="3">
        <f>VLOOKUP(C9,'sector-factor'!$B$2:$D$23,2,FALSE)</f>
        <v>0.3</v>
      </c>
      <c r="E9" s="3">
        <f>VLOOKUP(C9,'sector-factor'!$B$2:$D$23,3,FALSE)</f>
        <v>0.7</v>
      </c>
      <c r="F9" s="3" t="s">
        <v>19</v>
      </c>
      <c r="G9" s="3">
        <f t="shared" si="0"/>
        <v>30</v>
      </c>
      <c r="H9" s="4" t="s">
        <v>20</v>
      </c>
      <c r="I9" s="5">
        <v>58.875</v>
      </c>
      <c r="J9" s="6" t="s">
        <v>11</v>
      </c>
      <c r="K9" s="16">
        <f t="shared" si="1"/>
        <v>50.212499999999999</v>
      </c>
    </row>
    <row r="10" spans="1:14" ht="20.149999999999999" customHeight="1">
      <c r="A10" s="3">
        <v>9</v>
      </c>
      <c r="B10" s="4" t="s">
        <v>27</v>
      </c>
      <c r="C10" s="4" t="s">
        <v>23</v>
      </c>
      <c r="D10" s="3">
        <f>VLOOKUP(C10,'sector-factor'!$B$2:$D$23,2,FALSE)</f>
        <v>0.3</v>
      </c>
      <c r="E10" s="3">
        <f>VLOOKUP(C10,'sector-factor'!$B$2:$D$23,3,FALSE)</f>
        <v>0.7</v>
      </c>
      <c r="F10" s="3" t="s">
        <v>14</v>
      </c>
      <c r="G10" s="3">
        <f t="shared" si="0"/>
        <v>50</v>
      </c>
      <c r="H10" s="4" t="s">
        <v>15</v>
      </c>
      <c r="I10" s="5">
        <v>67.875</v>
      </c>
      <c r="J10" s="6" t="s">
        <v>11</v>
      </c>
      <c r="K10" s="16">
        <f t="shared" si="1"/>
        <v>62.512499999999996</v>
      </c>
    </row>
    <row r="11" spans="1:14" ht="20.149999999999999" customHeight="1">
      <c r="A11" s="3">
        <v>10</v>
      </c>
      <c r="B11" s="4" t="s">
        <v>28</v>
      </c>
      <c r="C11" s="4" t="s">
        <v>29</v>
      </c>
      <c r="D11" s="3">
        <f>VLOOKUP(C11,'sector-factor'!$B$2:$D$23,2,FALSE)</f>
        <v>0.65</v>
      </c>
      <c r="E11" s="3">
        <f>VLOOKUP(C11,'sector-factor'!$B$2:$D$23,3,FALSE)</f>
        <v>0.35</v>
      </c>
      <c r="F11" s="3" t="s">
        <v>14</v>
      </c>
      <c r="G11" s="3">
        <f t="shared" si="0"/>
        <v>50</v>
      </c>
      <c r="H11" s="4" t="s">
        <v>15</v>
      </c>
      <c r="I11" s="5">
        <v>65.75</v>
      </c>
      <c r="J11" s="6" t="s">
        <v>11</v>
      </c>
      <c r="K11" s="16">
        <f t="shared" si="1"/>
        <v>55.512500000000003</v>
      </c>
    </row>
    <row r="12" spans="1:14" ht="20.149999999999999" customHeight="1">
      <c r="A12" s="3">
        <v>11</v>
      </c>
      <c r="B12" s="4" t="s">
        <v>30</v>
      </c>
      <c r="C12" s="4" t="s">
        <v>29</v>
      </c>
      <c r="D12" s="3">
        <f>VLOOKUP(C12,'sector-factor'!$B$2:$D$23,2,FALSE)</f>
        <v>0.65</v>
      </c>
      <c r="E12" s="3">
        <f>VLOOKUP(C12,'sector-factor'!$B$2:$D$23,3,FALSE)</f>
        <v>0.35</v>
      </c>
      <c r="F12" s="3" t="s">
        <v>9</v>
      </c>
      <c r="G12" s="3">
        <f t="shared" si="0"/>
        <v>70</v>
      </c>
      <c r="H12" s="4" t="s">
        <v>10</v>
      </c>
      <c r="I12" s="5">
        <v>69.875</v>
      </c>
      <c r="J12" s="6" t="s">
        <v>11</v>
      </c>
      <c r="K12" s="16">
        <f t="shared" si="1"/>
        <v>69.956249999999997</v>
      </c>
    </row>
    <row r="13" spans="1:14" ht="20.149999999999999" customHeight="1">
      <c r="A13" s="3">
        <v>12</v>
      </c>
      <c r="B13" s="4" t="s">
        <v>31</v>
      </c>
      <c r="C13" s="4" t="s">
        <v>96</v>
      </c>
      <c r="D13" s="3">
        <f>VLOOKUP(C13,'sector-factor'!$B$2:$D$23,2,FALSE)</f>
        <v>0.4</v>
      </c>
      <c r="E13" s="3">
        <f>VLOOKUP(C13,'sector-factor'!$B$2:$D$23,3,FALSE)</f>
        <v>0.6</v>
      </c>
      <c r="F13" s="3" t="s">
        <v>14</v>
      </c>
      <c r="G13" s="3">
        <f t="shared" si="0"/>
        <v>50</v>
      </c>
      <c r="H13" s="4" t="s">
        <v>15</v>
      </c>
      <c r="I13" s="5">
        <v>72.75</v>
      </c>
      <c r="J13" s="6" t="s">
        <v>11</v>
      </c>
      <c r="K13" s="16">
        <f t="shared" si="1"/>
        <v>63.65</v>
      </c>
    </row>
    <row r="14" spans="1:14" ht="20.149999999999999" customHeight="1">
      <c r="A14" s="3">
        <v>13</v>
      </c>
      <c r="B14" s="4" t="s">
        <v>32</v>
      </c>
      <c r="C14" s="4" t="s">
        <v>29</v>
      </c>
      <c r="D14" s="3">
        <f>VLOOKUP(C14,'sector-factor'!$B$2:$D$23,2,FALSE)</f>
        <v>0.65</v>
      </c>
      <c r="E14" s="3">
        <f>VLOOKUP(C14,'sector-factor'!$B$2:$D$23,3,FALSE)</f>
        <v>0.35</v>
      </c>
      <c r="F14" s="3" t="s">
        <v>19</v>
      </c>
      <c r="G14" s="3">
        <f t="shared" si="0"/>
        <v>30</v>
      </c>
      <c r="H14" s="4" t="s">
        <v>20</v>
      </c>
      <c r="I14" s="5">
        <v>67.5</v>
      </c>
      <c r="J14" s="6" t="s">
        <v>11</v>
      </c>
      <c r="K14" s="16">
        <f t="shared" si="1"/>
        <v>43.125</v>
      </c>
    </row>
    <row r="15" spans="1:14" ht="20.149999999999999" customHeight="1">
      <c r="A15" s="3">
        <v>14</v>
      </c>
      <c r="B15" s="4" t="s">
        <v>33</v>
      </c>
      <c r="C15" s="4" t="s">
        <v>13</v>
      </c>
      <c r="D15" s="3">
        <f>VLOOKUP(C15,'sector-factor'!$B$2:$D$23,2,FALSE)</f>
        <v>0.6</v>
      </c>
      <c r="E15" s="3">
        <f>VLOOKUP(C15,'sector-factor'!$B$2:$D$23,3,FALSE)</f>
        <v>0.4</v>
      </c>
      <c r="F15" s="3" t="s">
        <v>14</v>
      </c>
      <c r="G15" s="3">
        <f t="shared" si="0"/>
        <v>50</v>
      </c>
      <c r="H15" s="4" t="s">
        <v>15</v>
      </c>
      <c r="I15" s="5">
        <v>65.875</v>
      </c>
      <c r="J15" s="6" t="s">
        <v>11</v>
      </c>
      <c r="K15" s="16">
        <f t="shared" si="1"/>
        <v>56.35</v>
      </c>
    </row>
    <row r="16" spans="1:14" ht="20.149999999999999" customHeight="1">
      <c r="A16" s="3">
        <v>15</v>
      </c>
      <c r="B16" s="4" t="s">
        <v>34</v>
      </c>
      <c r="C16" s="4" t="s">
        <v>35</v>
      </c>
      <c r="D16" s="3">
        <f>VLOOKUP(C16,'sector-factor'!$B$2:$D$23,2,FALSE)</f>
        <v>0.6</v>
      </c>
      <c r="E16" s="3">
        <f>VLOOKUP(C16,'sector-factor'!$B$2:$D$23,3,FALSE)</f>
        <v>0.4</v>
      </c>
      <c r="F16" s="3" t="s">
        <v>19</v>
      </c>
      <c r="G16" s="3">
        <f t="shared" si="0"/>
        <v>30</v>
      </c>
      <c r="H16" s="4" t="s">
        <v>20</v>
      </c>
      <c r="I16" s="5">
        <v>71.75</v>
      </c>
      <c r="J16" s="6" t="s">
        <v>11</v>
      </c>
      <c r="K16" s="16">
        <f t="shared" si="1"/>
        <v>46.7</v>
      </c>
    </row>
    <row r="17" spans="1:11" ht="20.149999999999999" customHeight="1">
      <c r="A17" s="3">
        <v>16</v>
      </c>
      <c r="B17" s="4" t="s">
        <v>36</v>
      </c>
      <c r="C17" s="4" t="s">
        <v>37</v>
      </c>
      <c r="D17" s="3">
        <f>VLOOKUP(C17,'sector-factor'!$B$2:$D$23,2,FALSE)</f>
        <v>0.7</v>
      </c>
      <c r="E17" s="3">
        <f>VLOOKUP(C17,'sector-factor'!$B$2:$D$23,3,FALSE)</f>
        <v>0.3</v>
      </c>
      <c r="F17" s="3" t="s">
        <v>19</v>
      </c>
      <c r="G17" s="3">
        <f t="shared" si="0"/>
        <v>30</v>
      </c>
      <c r="H17" s="4" t="s">
        <v>20</v>
      </c>
      <c r="I17" s="5">
        <v>71.75</v>
      </c>
      <c r="J17" s="6" t="s">
        <v>11</v>
      </c>
      <c r="K17" s="16">
        <f t="shared" si="1"/>
        <v>42.524999999999999</v>
      </c>
    </row>
    <row r="18" spans="1:11" ht="20.149999999999999" customHeight="1">
      <c r="A18" s="3">
        <v>17</v>
      </c>
      <c r="B18" s="4" t="s">
        <v>38</v>
      </c>
      <c r="C18" s="4" t="s">
        <v>35</v>
      </c>
      <c r="D18" s="3">
        <f>VLOOKUP(C18,'sector-factor'!$B$2:$D$23,2,FALSE)</f>
        <v>0.6</v>
      </c>
      <c r="E18" s="3">
        <f>VLOOKUP(C18,'sector-factor'!$B$2:$D$23,3,FALSE)</f>
        <v>0.4</v>
      </c>
      <c r="F18" s="3" t="s">
        <v>39</v>
      </c>
      <c r="G18" s="3">
        <f t="shared" si="0"/>
        <v>90</v>
      </c>
      <c r="H18" s="4" t="s">
        <v>40</v>
      </c>
      <c r="I18" s="5">
        <v>84</v>
      </c>
      <c r="J18" s="6" t="s">
        <v>41</v>
      </c>
      <c r="K18" s="16">
        <f t="shared" si="1"/>
        <v>87.6</v>
      </c>
    </row>
    <row r="19" spans="1:11" ht="20.149999999999999" customHeight="1">
      <c r="A19" s="3">
        <v>18</v>
      </c>
      <c r="B19" s="4" t="s">
        <v>42</v>
      </c>
      <c r="C19" s="4" t="s">
        <v>43</v>
      </c>
      <c r="D19" s="3">
        <f>VLOOKUP(C19,'sector-factor'!$B$2:$D$23,2,FALSE)</f>
        <v>0.75</v>
      </c>
      <c r="E19" s="3">
        <f>VLOOKUP(C19,'sector-factor'!$B$2:$D$23,3,FALSE)</f>
        <v>0.25</v>
      </c>
      <c r="F19" s="3" t="s">
        <v>9</v>
      </c>
      <c r="G19" s="3">
        <f t="shared" si="0"/>
        <v>70</v>
      </c>
      <c r="H19" s="4" t="s">
        <v>10</v>
      </c>
      <c r="I19" s="5">
        <v>72.5</v>
      </c>
      <c r="J19" s="6" t="s">
        <v>11</v>
      </c>
      <c r="K19" s="16">
        <f t="shared" si="1"/>
        <v>70.625</v>
      </c>
    </row>
    <row r="20" spans="1:11" ht="20.149999999999999" customHeight="1">
      <c r="A20" s="3">
        <v>19</v>
      </c>
      <c r="B20" s="4" t="s">
        <v>44</v>
      </c>
      <c r="C20" s="4" t="s">
        <v>45</v>
      </c>
      <c r="D20" s="3">
        <f>VLOOKUP(C20,'sector-factor'!$B$2:$D$23,2,FALSE)</f>
        <v>0.65</v>
      </c>
      <c r="E20" s="3">
        <f>VLOOKUP(C20,'sector-factor'!$B$2:$D$23,3,FALSE)</f>
        <v>0.35</v>
      </c>
      <c r="F20" s="3" t="s">
        <v>19</v>
      </c>
      <c r="G20" s="3">
        <f t="shared" si="0"/>
        <v>30</v>
      </c>
      <c r="H20" s="4" t="s">
        <v>20</v>
      </c>
      <c r="I20" s="5">
        <v>70.875</v>
      </c>
      <c r="J20" s="6" t="s">
        <v>11</v>
      </c>
      <c r="K20" s="16">
        <f t="shared" si="1"/>
        <v>44.306249999999999</v>
      </c>
    </row>
    <row r="21" spans="1:11" ht="20.149999999999999" customHeight="1">
      <c r="A21" s="3">
        <v>20</v>
      </c>
      <c r="B21" s="4" t="s">
        <v>46</v>
      </c>
      <c r="C21" s="4" t="s">
        <v>35</v>
      </c>
      <c r="D21" s="3">
        <f>VLOOKUP(C21,'sector-factor'!$B$2:$D$23,2,FALSE)</f>
        <v>0.6</v>
      </c>
      <c r="E21" s="3">
        <f>VLOOKUP(C21,'sector-factor'!$B$2:$D$23,3,FALSE)</f>
        <v>0.4</v>
      </c>
      <c r="F21" s="3" t="s">
        <v>39</v>
      </c>
      <c r="G21" s="3">
        <f t="shared" si="0"/>
        <v>90</v>
      </c>
      <c r="H21" s="4" t="s">
        <v>40</v>
      </c>
      <c r="I21" s="5">
        <v>78</v>
      </c>
      <c r="J21" s="6" t="s">
        <v>41</v>
      </c>
      <c r="K21" s="16">
        <f t="shared" si="1"/>
        <v>85.2</v>
      </c>
    </row>
    <row r="22" spans="1:11" ht="20.149999999999999" customHeight="1">
      <c r="A22" s="3">
        <v>21</v>
      </c>
      <c r="B22" s="4" t="s">
        <v>47</v>
      </c>
      <c r="C22" s="4" t="s">
        <v>37</v>
      </c>
      <c r="D22" s="3">
        <f>VLOOKUP(C22,'sector-factor'!$B$2:$D$23,2,FALSE)</f>
        <v>0.7</v>
      </c>
      <c r="E22" s="3">
        <f>VLOOKUP(C22,'sector-factor'!$B$2:$D$23,3,FALSE)</f>
        <v>0.3</v>
      </c>
      <c r="F22" s="3" t="s">
        <v>48</v>
      </c>
      <c r="G22" s="3">
        <f t="shared" si="0"/>
        <v>0</v>
      </c>
      <c r="H22" s="4" t="s">
        <v>49</v>
      </c>
      <c r="I22" s="5">
        <v>50</v>
      </c>
      <c r="J22" s="6" t="s">
        <v>50</v>
      </c>
      <c r="K22" s="16">
        <f t="shared" si="1"/>
        <v>15</v>
      </c>
    </row>
    <row r="23" spans="1:11" ht="20.149999999999999" customHeight="1">
      <c r="A23" s="3">
        <v>22</v>
      </c>
      <c r="B23" s="4" t="s">
        <v>51</v>
      </c>
      <c r="C23" s="4" t="s">
        <v>37</v>
      </c>
      <c r="D23" s="3">
        <f>VLOOKUP(C23,'sector-factor'!$B$2:$D$23,2,FALSE)</f>
        <v>0.7</v>
      </c>
      <c r="E23" s="3">
        <f>VLOOKUP(C23,'sector-factor'!$B$2:$D$23,3,FALSE)</f>
        <v>0.3</v>
      </c>
      <c r="F23" s="3" t="s">
        <v>19</v>
      </c>
      <c r="G23" s="3">
        <f t="shared" si="0"/>
        <v>30</v>
      </c>
      <c r="H23" s="4" t="s">
        <v>20</v>
      </c>
      <c r="I23" s="5">
        <v>54</v>
      </c>
      <c r="J23" s="6" t="s">
        <v>50</v>
      </c>
      <c r="K23" s="16">
        <f t="shared" si="1"/>
        <v>37.200000000000003</v>
      </c>
    </row>
    <row r="24" spans="1:11" ht="20.149999999999999" customHeight="1">
      <c r="A24" s="3">
        <v>23</v>
      </c>
      <c r="B24" s="4" t="s">
        <v>52</v>
      </c>
      <c r="C24" s="4" t="s">
        <v>37</v>
      </c>
      <c r="D24" s="3">
        <f>VLOOKUP(C24,'sector-factor'!$B$2:$D$23,2,FALSE)</f>
        <v>0.7</v>
      </c>
      <c r="E24" s="3">
        <f>VLOOKUP(C24,'sector-factor'!$B$2:$D$23,3,FALSE)</f>
        <v>0.3</v>
      </c>
      <c r="F24" s="3" t="s">
        <v>48</v>
      </c>
      <c r="G24" s="3">
        <f t="shared" si="0"/>
        <v>0</v>
      </c>
      <c r="H24" s="4" t="s">
        <v>49</v>
      </c>
      <c r="I24" s="5">
        <v>49.5</v>
      </c>
      <c r="J24" s="6" t="s">
        <v>50</v>
      </c>
      <c r="K24" s="16">
        <f t="shared" si="1"/>
        <v>14.85</v>
      </c>
    </row>
    <row r="25" spans="1:11" ht="20.149999999999999" customHeight="1">
      <c r="A25" s="3">
        <v>24</v>
      </c>
      <c r="B25" s="4" t="s">
        <v>53</v>
      </c>
      <c r="C25" s="4" t="s">
        <v>13</v>
      </c>
      <c r="D25" s="3">
        <f>VLOOKUP(C25,'sector-factor'!$B$2:$D$23,2,FALSE)</f>
        <v>0.6</v>
      </c>
      <c r="E25" s="3">
        <f>VLOOKUP(C25,'sector-factor'!$B$2:$D$23,3,FALSE)</f>
        <v>0.4</v>
      </c>
      <c r="F25" s="3" t="s">
        <v>14</v>
      </c>
      <c r="G25" s="3">
        <f t="shared" si="0"/>
        <v>50</v>
      </c>
      <c r="H25" s="4" t="s">
        <v>15</v>
      </c>
      <c r="I25" s="5">
        <v>64.875</v>
      </c>
      <c r="J25" s="6" t="s">
        <v>11</v>
      </c>
      <c r="K25" s="16">
        <f t="shared" si="1"/>
        <v>55.95</v>
      </c>
    </row>
    <row r="26" spans="1:11" ht="20.149999999999999" customHeight="1">
      <c r="A26" s="3">
        <v>25</v>
      </c>
      <c r="B26" s="4" t="s">
        <v>54</v>
      </c>
      <c r="C26" s="4" t="s">
        <v>29</v>
      </c>
      <c r="D26" s="3">
        <f>VLOOKUP(C26,'sector-factor'!$B$2:$D$23,2,FALSE)</f>
        <v>0.65</v>
      </c>
      <c r="E26" s="3">
        <f>VLOOKUP(C26,'sector-factor'!$B$2:$D$23,3,FALSE)</f>
        <v>0.35</v>
      </c>
      <c r="F26" s="3" t="s">
        <v>19</v>
      </c>
      <c r="G26" s="3">
        <f t="shared" si="0"/>
        <v>30</v>
      </c>
      <c r="H26" s="4" t="s">
        <v>20</v>
      </c>
      <c r="I26" s="5">
        <v>64.75</v>
      </c>
      <c r="J26" s="6" t="s">
        <v>11</v>
      </c>
      <c r="K26" s="16">
        <f t="shared" si="1"/>
        <v>42.162499999999994</v>
      </c>
    </row>
    <row r="27" spans="1:11" ht="20.149999999999999" customHeight="1">
      <c r="A27" s="3">
        <v>26</v>
      </c>
      <c r="B27" s="4" t="s">
        <v>55</v>
      </c>
      <c r="C27" s="4" t="s">
        <v>18</v>
      </c>
      <c r="D27" s="3">
        <f>VLOOKUP(C27,'sector-factor'!$B$2:$D$23,2,FALSE)</f>
        <v>0.7</v>
      </c>
      <c r="E27" s="3">
        <f>VLOOKUP(C27,'sector-factor'!$B$2:$D$23,3,FALSE)</f>
        <v>0.3</v>
      </c>
      <c r="F27" s="3" t="s">
        <v>9</v>
      </c>
      <c r="G27" s="3">
        <f t="shared" si="0"/>
        <v>70</v>
      </c>
      <c r="H27" s="4" t="s">
        <v>10</v>
      </c>
      <c r="I27" s="5">
        <v>72.75</v>
      </c>
      <c r="J27" s="6" t="s">
        <v>11</v>
      </c>
      <c r="K27" s="16">
        <f t="shared" si="1"/>
        <v>70.825000000000003</v>
      </c>
    </row>
    <row r="28" spans="1:11" ht="20.149999999999999" customHeight="1">
      <c r="A28" s="3">
        <v>27</v>
      </c>
      <c r="B28" s="4" t="s">
        <v>56</v>
      </c>
      <c r="C28" s="4" t="s">
        <v>23</v>
      </c>
      <c r="D28" s="3">
        <f>VLOOKUP(C28,'sector-factor'!$B$2:$D$23,2,FALSE)</f>
        <v>0.3</v>
      </c>
      <c r="E28" s="3">
        <f>VLOOKUP(C28,'sector-factor'!$B$2:$D$23,3,FALSE)</f>
        <v>0.7</v>
      </c>
      <c r="F28" s="3" t="s">
        <v>14</v>
      </c>
      <c r="G28" s="3">
        <f t="shared" si="0"/>
        <v>50</v>
      </c>
      <c r="H28" s="4" t="s">
        <v>15</v>
      </c>
      <c r="I28" s="5">
        <v>64.5</v>
      </c>
      <c r="J28" s="6" t="s">
        <v>11</v>
      </c>
      <c r="K28" s="16">
        <f t="shared" si="1"/>
        <v>60.15</v>
      </c>
    </row>
    <row r="29" spans="1:11" ht="20.149999999999999" customHeight="1">
      <c r="A29" s="3">
        <v>28</v>
      </c>
      <c r="B29" s="4" t="s">
        <v>57</v>
      </c>
      <c r="C29" s="4" t="s">
        <v>26</v>
      </c>
      <c r="D29" s="3">
        <f>VLOOKUP(C29,'sector-factor'!$B$2:$D$23,2,FALSE)</f>
        <v>0.3</v>
      </c>
      <c r="E29" s="3">
        <f>VLOOKUP(C29,'sector-factor'!$B$2:$D$23,3,FALSE)</f>
        <v>0.7</v>
      </c>
      <c r="F29" s="3" t="s">
        <v>19</v>
      </c>
      <c r="G29" s="3">
        <f t="shared" si="0"/>
        <v>30</v>
      </c>
      <c r="H29" s="4" t="s">
        <v>20</v>
      </c>
      <c r="I29" s="5">
        <v>54.374999999999993</v>
      </c>
      <c r="J29" s="6" t="s">
        <v>50</v>
      </c>
      <c r="K29" s="16">
        <f t="shared" si="1"/>
        <v>47.062499999999993</v>
      </c>
    </row>
    <row r="30" spans="1:11" ht="20.149999999999999" customHeight="1">
      <c r="A30" s="3">
        <v>29</v>
      </c>
      <c r="B30" s="4" t="s">
        <v>58</v>
      </c>
      <c r="C30" s="4" t="s">
        <v>23</v>
      </c>
      <c r="D30" s="3">
        <f>VLOOKUP(C30,'sector-factor'!$B$2:$D$23,2,FALSE)</f>
        <v>0.3</v>
      </c>
      <c r="E30" s="3">
        <f>VLOOKUP(C30,'sector-factor'!$B$2:$D$23,3,FALSE)</f>
        <v>0.7</v>
      </c>
      <c r="F30" s="3" t="s">
        <v>14</v>
      </c>
      <c r="G30" s="3">
        <f t="shared" si="0"/>
        <v>50</v>
      </c>
      <c r="H30" s="4" t="s">
        <v>15</v>
      </c>
      <c r="I30" s="5">
        <v>51.749999999999993</v>
      </c>
      <c r="J30" s="6" t="s">
        <v>50</v>
      </c>
      <c r="K30" s="16">
        <f t="shared" si="1"/>
        <v>51.224999999999994</v>
      </c>
    </row>
    <row r="31" spans="1:11" ht="20.149999999999999" customHeight="1">
      <c r="A31" s="3">
        <v>30</v>
      </c>
      <c r="B31" s="4" t="s">
        <v>59</v>
      </c>
      <c r="C31" s="4" t="s">
        <v>23</v>
      </c>
      <c r="D31" s="3">
        <f>VLOOKUP(C31,'sector-factor'!$B$2:$D$23,2,FALSE)</f>
        <v>0.3</v>
      </c>
      <c r="E31" s="3">
        <f>VLOOKUP(C31,'sector-factor'!$B$2:$D$23,3,FALSE)</f>
        <v>0.7</v>
      </c>
      <c r="F31" s="3" t="s">
        <v>9</v>
      </c>
      <c r="G31" s="3">
        <f t="shared" si="0"/>
        <v>70</v>
      </c>
      <c r="H31" s="4" t="s">
        <v>10</v>
      </c>
      <c r="I31" s="5">
        <v>50.749999999999993</v>
      </c>
      <c r="J31" s="6" t="s">
        <v>50</v>
      </c>
      <c r="K31" s="16">
        <f t="shared" si="1"/>
        <v>56.524999999999991</v>
      </c>
    </row>
    <row r="32" spans="1:11" ht="20.149999999999999" customHeight="1">
      <c r="A32" s="3">
        <v>31</v>
      </c>
      <c r="B32" s="4" t="s">
        <v>60</v>
      </c>
      <c r="C32" s="4" t="s">
        <v>23</v>
      </c>
      <c r="D32" s="3">
        <f>VLOOKUP(C32,'sector-factor'!$B$2:$D$23,2,FALSE)</f>
        <v>0.3</v>
      </c>
      <c r="E32" s="3">
        <f>VLOOKUP(C32,'sector-factor'!$B$2:$D$23,3,FALSE)</f>
        <v>0.7</v>
      </c>
      <c r="F32" s="3" t="s">
        <v>14</v>
      </c>
      <c r="G32" s="3">
        <f t="shared" si="0"/>
        <v>50</v>
      </c>
      <c r="H32" s="4" t="s">
        <v>15</v>
      </c>
      <c r="I32" s="5">
        <v>54.500000000000007</v>
      </c>
      <c r="J32" s="6" t="s">
        <v>50</v>
      </c>
      <c r="K32" s="16">
        <f t="shared" si="1"/>
        <v>53.150000000000006</v>
      </c>
    </row>
    <row r="33" spans="1:11" ht="20.149999999999999" customHeight="1">
      <c r="A33" s="3">
        <v>32</v>
      </c>
      <c r="B33" s="4" t="s">
        <v>61</v>
      </c>
      <c r="C33" s="4" t="s">
        <v>23</v>
      </c>
      <c r="D33" s="3">
        <f>VLOOKUP(C33,'sector-factor'!$B$2:$D$23,2,FALSE)</f>
        <v>0.3</v>
      </c>
      <c r="E33" s="3">
        <f>VLOOKUP(C33,'sector-factor'!$B$2:$D$23,3,FALSE)</f>
        <v>0.7</v>
      </c>
      <c r="F33" s="3" t="s">
        <v>14</v>
      </c>
      <c r="G33" s="3">
        <f t="shared" si="0"/>
        <v>50</v>
      </c>
      <c r="H33" s="4" t="s">
        <v>15</v>
      </c>
      <c r="I33" s="5">
        <v>61</v>
      </c>
      <c r="J33" s="6" t="s">
        <v>11</v>
      </c>
      <c r="K33" s="16">
        <f t="shared" si="1"/>
        <v>57.699999999999996</v>
      </c>
    </row>
    <row r="34" spans="1:11" ht="20.149999999999999" customHeight="1">
      <c r="A34" s="3">
        <v>33</v>
      </c>
      <c r="B34" s="4" t="s">
        <v>62</v>
      </c>
      <c r="C34" s="4" t="s">
        <v>29</v>
      </c>
      <c r="D34" s="3">
        <f>VLOOKUP(C34,'sector-factor'!$B$2:$D$23,2,FALSE)</f>
        <v>0.65</v>
      </c>
      <c r="E34" s="3">
        <f>VLOOKUP(C34,'sector-factor'!$B$2:$D$23,3,FALSE)</f>
        <v>0.35</v>
      </c>
      <c r="F34" s="3" t="s">
        <v>14</v>
      </c>
      <c r="G34" s="3">
        <f t="shared" si="0"/>
        <v>50</v>
      </c>
      <c r="H34" s="4" t="s">
        <v>15</v>
      </c>
      <c r="I34" s="5">
        <v>53.75</v>
      </c>
      <c r="J34" s="6" t="s">
        <v>50</v>
      </c>
      <c r="K34" s="16">
        <f t="shared" si="1"/>
        <v>51.3125</v>
      </c>
    </row>
    <row r="35" spans="1:11" ht="20.149999999999999" customHeight="1">
      <c r="A35" s="3">
        <v>34</v>
      </c>
      <c r="B35" s="4" t="s">
        <v>63</v>
      </c>
      <c r="C35" s="4" t="s">
        <v>23</v>
      </c>
      <c r="D35" s="3">
        <f>VLOOKUP(C35,'sector-factor'!$B$2:$D$23,2,FALSE)</f>
        <v>0.3</v>
      </c>
      <c r="E35" s="3">
        <f>VLOOKUP(C35,'sector-factor'!$B$2:$D$23,3,FALSE)</f>
        <v>0.7</v>
      </c>
      <c r="F35" s="3" t="s">
        <v>14</v>
      </c>
      <c r="G35" s="3">
        <f t="shared" si="0"/>
        <v>50</v>
      </c>
      <c r="H35" s="4" t="s">
        <v>15</v>
      </c>
      <c r="I35" s="5">
        <v>48.75</v>
      </c>
      <c r="J35" s="6" t="s">
        <v>50</v>
      </c>
      <c r="K35" s="16">
        <f t="shared" si="1"/>
        <v>49.125</v>
      </c>
    </row>
    <row r="36" spans="1:11" ht="20.149999999999999" customHeight="1">
      <c r="A36" s="3">
        <v>35</v>
      </c>
      <c r="B36" s="4" t="s">
        <v>64</v>
      </c>
      <c r="C36" s="4" t="s">
        <v>65</v>
      </c>
      <c r="D36" s="3">
        <f>VLOOKUP(C36,'sector-factor'!$B$2:$D$23,2,FALSE)</f>
        <v>0.35</v>
      </c>
      <c r="E36" s="3">
        <f>VLOOKUP(C36,'sector-factor'!$B$2:$D$23,3,FALSE)</f>
        <v>0.65</v>
      </c>
      <c r="F36" s="3" t="s">
        <v>19</v>
      </c>
      <c r="G36" s="3">
        <f t="shared" si="0"/>
        <v>30</v>
      </c>
      <c r="H36" s="4" t="s">
        <v>20</v>
      </c>
      <c r="I36" s="5">
        <v>66.25</v>
      </c>
      <c r="J36" s="6" t="s">
        <v>11</v>
      </c>
      <c r="K36" s="16">
        <f t="shared" si="1"/>
        <v>53.5625</v>
      </c>
    </row>
    <row r="37" spans="1:11" ht="20.149999999999999" customHeight="1">
      <c r="A37" s="3">
        <v>36</v>
      </c>
      <c r="B37" s="4" t="s">
        <v>66</v>
      </c>
      <c r="C37" s="4" t="s">
        <v>45</v>
      </c>
      <c r="D37" s="3">
        <f>VLOOKUP(C37,'sector-factor'!$B$2:$D$23,2,FALSE)</f>
        <v>0.65</v>
      </c>
      <c r="E37" s="3">
        <f>VLOOKUP(C37,'sector-factor'!$B$2:$D$23,3,FALSE)</f>
        <v>0.35</v>
      </c>
      <c r="F37" s="3" t="s">
        <v>14</v>
      </c>
      <c r="G37" s="3">
        <f t="shared" si="0"/>
        <v>50</v>
      </c>
      <c r="H37" s="4" t="s">
        <v>15</v>
      </c>
      <c r="I37" s="5">
        <v>57.75</v>
      </c>
      <c r="J37" s="6" t="s">
        <v>11</v>
      </c>
      <c r="K37" s="16">
        <f t="shared" si="1"/>
        <v>52.712499999999999</v>
      </c>
    </row>
    <row r="38" spans="1:11" ht="20.149999999999999" customHeight="1">
      <c r="A38" s="3">
        <v>37</v>
      </c>
      <c r="B38" s="4" t="s">
        <v>67</v>
      </c>
      <c r="C38" s="4" t="s">
        <v>13</v>
      </c>
      <c r="D38" s="3">
        <f>VLOOKUP(C38,'sector-factor'!$B$2:$D$23,2,FALSE)</f>
        <v>0.6</v>
      </c>
      <c r="E38" s="3">
        <f>VLOOKUP(C38,'sector-factor'!$B$2:$D$23,3,FALSE)</f>
        <v>0.4</v>
      </c>
      <c r="F38" s="3" t="s">
        <v>19</v>
      </c>
      <c r="G38" s="3">
        <f t="shared" si="0"/>
        <v>30</v>
      </c>
      <c r="H38" s="4" t="s">
        <v>20</v>
      </c>
      <c r="I38" s="5">
        <v>60.5</v>
      </c>
      <c r="J38" s="6" t="s">
        <v>11</v>
      </c>
      <c r="K38" s="16">
        <f t="shared" si="1"/>
        <v>42.2</v>
      </c>
    </row>
    <row r="39" spans="1:11" ht="20.149999999999999" customHeight="1">
      <c r="A39" s="3">
        <v>38</v>
      </c>
      <c r="B39" s="4" t="s">
        <v>68</v>
      </c>
      <c r="C39" s="4" t="s">
        <v>29</v>
      </c>
      <c r="D39" s="3">
        <f>VLOOKUP(C39,'sector-factor'!$B$2:$D$23,2,FALSE)</f>
        <v>0.65</v>
      </c>
      <c r="E39" s="3">
        <f>VLOOKUP(C39,'sector-factor'!$B$2:$D$23,3,FALSE)</f>
        <v>0.35</v>
      </c>
      <c r="F39" s="3" t="s">
        <v>14</v>
      </c>
      <c r="G39" s="3">
        <f t="shared" si="0"/>
        <v>50</v>
      </c>
      <c r="H39" s="4" t="s">
        <v>15</v>
      </c>
      <c r="I39" s="5">
        <v>61.5</v>
      </c>
      <c r="J39" s="6" t="s">
        <v>11</v>
      </c>
      <c r="K39" s="16">
        <f t="shared" si="1"/>
        <v>54.024999999999999</v>
      </c>
    </row>
    <row r="40" spans="1:11" ht="20.149999999999999" customHeight="1">
      <c r="A40" s="3">
        <v>39</v>
      </c>
      <c r="B40" s="4" t="s">
        <v>69</v>
      </c>
      <c r="C40" s="4" t="s">
        <v>26</v>
      </c>
      <c r="D40" s="3">
        <f>VLOOKUP(C40,'sector-factor'!$B$2:$D$23,2,FALSE)</f>
        <v>0.3</v>
      </c>
      <c r="E40" s="3">
        <f>VLOOKUP(C40,'sector-factor'!$B$2:$D$23,3,FALSE)</f>
        <v>0.7</v>
      </c>
      <c r="F40" s="3" t="s">
        <v>19</v>
      </c>
      <c r="G40" s="3">
        <f t="shared" si="0"/>
        <v>30</v>
      </c>
      <c r="H40" s="4" t="s">
        <v>20</v>
      </c>
      <c r="I40" s="5">
        <v>65</v>
      </c>
      <c r="J40" s="6" t="s">
        <v>11</v>
      </c>
      <c r="K40" s="16">
        <f t="shared" si="1"/>
        <v>54.5</v>
      </c>
    </row>
    <row r="41" spans="1:11" ht="20.149999999999999" customHeight="1">
      <c r="A41" s="3">
        <v>40</v>
      </c>
      <c r="B41" s="4" t="s">
        <v>70</v>
      </c>
      <c r="C41" s="4" t="s">
        <v>45</v>
      </c>
      <c r="D41" s="3">
        <f>VLOOKUP(C41,'sector-factor'!$B$2:$D$23,2,FALSE)</f>
        <v>0.65</v>
      </c>
      <c r="E41" s="3">
        <f>VLOOKUP(C41,'sector-factor'!$B$2:$D$23,3,FALSE)</f>
        <v>0.35</v>
      </c>
      <c r="F41" s="3" t="s">
        <v>14</v>
      </c>
      <c r="G41" s="3">
        <f t="shared" si="0"/>
        <v>50</v>
      </c>
      <c r="H41" s="4" t="s">
        <v>15</v>
      </c>
      <c r="I41" s="5">
        <v>57.75</v>
      </c>
      <c r="J41" s="6" t="s">
        <v>11</v>
      </c>
      <c r="K41" s="16">
        <f t="shared" si="1"/>
        <v>52.712499999999999</v>
      </c>
    </row>
    <row r="42" spans="1:11" ht="20.149999999999999" customHeight="1">
      <c r="A42" s="3">
        <v>41</v>
      </c>
      <c r="B42" s="4" t="s">
        <v>71</v>
      </c>
      <c r="C42" s="4" t="s">
        <v>35</v>
      </c>
      <c r="D42" s="3">
        <f>VLOOKUP(C42,'sector-factor'!$B$2:$D$23,2,FALSE)</f>
        <v>0.6</v>
      </c>
      <c r="E42" s="3">
        <f>VLOOKUP(C42,'sector-factor'!$B$2:$D$23,3,FALSE)</f>
        <v>0.4</v>
      </c>
      <c r="F42" s="3" t="s">
        <v>19</v>
      </c>
      <c r="G42" s="3">
        <f t="shared" si="0"/>
        <v>30</v>
      </c>
      <c r="H42" s="4" t="s">
        <v>20</v>
      </c>
      <c r="I42" s="5">
        <v>59</v>
      </c>
      <c r="J42" s="6" t="s">
        <v>11</v>
      </c>
      <c r="K42" s="16">
        <f t="shared" si="1"/>
        <v>41.6</v>
      </c>
    </row>
    <row r="43" spans="1:11" ht="20.149999999999999" customHeight="1">
      <c r="A43" s="3">
        <v>42</v>
      </c>
      <c r="B43" s="4" t="s">
        <v>72</v>
      </c>
      <c r="C43" s="4" t="s">
        <v>29</v>
      </c>
      <c r="D43" s="3">
        <f>VLOOKUP(C43,'sector-factor'!$B$2:$D$23,2,FALSE)</f>
        <v>0.65</v>
      </c>
      <c r="E43" s="3">
        <f>VLOOKUP(C43,'sector-factor'!$B$2:$D$23,3,FALSE)</f>
        <v>0.35</v>
      </c>
      <c r="F43" s="3" t="s">
        <v>14</v>
      </c>
      <c r="G43" s="3">
        <f t="shared" si="0"/>
        <v>50</v>
      </c>
      <c r="H43" s="4" t="s">
        <v>15</v>
      </c>
      <c r="I43" s="5">
        <v>49</v>
      </c>
      <c r="J43" s="6" t="s">
        <v>50</v>
      </c>
      <c r="K43" s="16">
        <f t="shared" si="1"/>
        <v>49.65</v>
      </c>
    </row>
    <row r="44" spans="1:11" ht="20.149999999999999" customHeight="1">
      <c r="A44" s="3">
        <v>43</v>
      </c>
      <c r="B44" s="4" t="s">
        <v>73</v>
      </c>
      <c r="C44" s="4" t="s">
        <v>74</v>
      </c>
      <c r="D44" s="3">
        <f>VLOOKUP(C44,'sector-factor'!$B$2:$D$23,2,FALSE)</f>
        <v>0.5</v>
      </c>
      <c r="E44" s="3">
        <f>VLOOKUP(C44,'sector-factor'!$B$2:$D$23,3,FALSE)</f>
        <v>0.5</v>
      </c>
      <c r="F44" s="3" t="s">
        <v>14</v>
      </c>
      <c r="G44" s="3">
        <f t="shared" si="0"/>
        <v>50</v>
      </c>
      <c r="H44" s="4" t="s">
        <v>15</v>
      </c>
      <c r="I44" s="5">
        <v>62.5</v>
      </c>
      <c r="J44" s="6" t="s">
        <v>11</v>
      </c>
      <c r="K44" s="16">
        <f t="shared" si="1"/>
        <v>56.25</v>
      </c>
    </row>
    <row r="45" spans="1:11" ht="20.149999999999999" customHeight="1">
      <c r="A45" s="3">
        <v>44</v>
      </c>
      <c r="B45" s="4" t="s">
        <v>75</v>
      </c>
      <c r="C45" s="4" t="s">
        <v>26</v>
      </c>
      <c r="D45" s="3">
        <f>VLOOKUP(C45,'sector-factor'!$B$2:$D$23,2,FALSE)</f>
        <v>0.3</v>
      </c>
      <c r="E45" s="3">
        <f>VLOOKUP(C45,'sector-factor'!$B$2:$D$23,3,FALSE)</f>
        <v>0.7</v>
      </c>
      <c r="F45" s="3" t="s">
        <v>19</v>
      </c>
      <c r="G45" s="3">
        <f t="shared" si="0"/>
        <v>30</v>
      </c>
      <c r="H45" s="4" t="s">
        <v>20</v>
      </c>
      <c r="I45" s="5">
        <v>67.125</v>
      </c>
      <c r="J45" s="6" t="s">
        <v>11</v>
      </c>
      <c r="K45" s="16">
        <f t="shared" si="1"/>
        <v>55.987499999999997</v>
      </c>
    </row>
    <row r="46" spans="1:11" ht="20.149999999999999" customHeight="1">
      <c r="A46" s="3">
        <v>45</v>
      </c>
      <c r="B46" s="4" t="s">
        <v>76</v>
      </c>
      <c r="C46" t="s">
        <v>35</v>
      </c>
      <c r="D46" s="3">
        <f>VLOOKUP(C46,'sector-factor'!$B$2:$D$23,2,FALSE)</f>
        <v>0.6</v>
      </c>
      <c r="E46" s="3">
        <f>VLOOKUP(C46,'sector-factor'!$B$2:$D$23,3,FALSE)</f>
        <v>0.4</v>
      </c>
      <c r="F46" s="3" t="s">
        <v>14</v>
      </c>
      <c r="G46" s="3">
        <f t="shared" si="0"/>
        <v>50</v>
      </c>
      <c r="H46" s="4" t="s">
        <v>15</v>
      </c>
      <c r="I46" s="5">
        <v>51.5</v>
      </c>
      <c r="J46" s="6" t="s">
        <v>50</v>
      </c>
      <c r="K46" s="16">
        <f t="shared" si="1"/>
        <v>50.6</v>
      </c>
    </row>
    <row r="47" spans="1:11" ht="20.149999999999999" customHeight="1">
      <c r="A47" s="3">
        <v>46</v>
      </c>
      <c r="B47" s="4" t="s">
        <v>77</v>
      </c>
      <c r="C47" s="4" t="s">
        <v>96</v>
      </c>
      <c r="D47" s="3">
        <f>VLOOKUP(C47,'sector-factor'!$B$2:$D$23,2,FALSE)</f>
        <v>0.4</v>
      </c>
      <c r="E47" s="3">
        <f>VLOOKUP(C47,'sector-factor'!$B$2:$D$23,3,FALSE)</f>
        <v>0.6</v>
      </c>
      <c r="F47" s="3" t="s">
        <v>14</v>
      </c>
      <c r="G47" s="3">
        <f t="shared" si="0"/>
        <v>50</v>
      </c>
      <c r="H47" s="4" t="s">
        <v>15</v>
      </c>
      <c r="I47" s="5">
        <v>60</v>
      </c>
      <c r="J47" s="6" t="s">
        <v>11</v>
      </c>
      <c r="K47" s="16">
        <f t="shared" si="1"/>
        <v>56</v>
      </c>
    </row>
    <row r="48" spans="1:11" ht="20.149999999999999" customHeight="1">
      <c r="A48" s="3">
        <v>47</v>
      </c>
      <c r="B48" s="4" t="s">
        <v>78</v>
      </c>
      <c r="C48" s="4" t="s">
        <v>35</v>
      </c>
      <c r="D48" s="3">
        <f>VLOOKUP(C48,'sector-factor'!$B$2:$D$23,2,FALSE)</f>
        <v>0.6</v>
      </c>
      <c r="E48" s="3">
        <f>VLOOKUP(C48,'sector-factor'!$B$2:$D$23,3,FALSE)</f>
        <v>0.4</v>
      </c>
      <c r="F48" s="3" t="s">
        <v>19</v>
      </c>
      <c r="G48" s="3">
        <f t="shared" si="0"/>
        <v>30</v>
      </c>
      <c r="H48" s="4" t="s">
        <v>20</v>
      </c>
      <c r="I48" s="5">
        <v>67.75</v>
      </c>
      <c r="J48" s="6" t="s">
        <v>11</v>
      </c>
      <c r="K48" s="16">
        <f t="shared" si="1"/>
        <v>45.1</v>
      </c>
    </row>
    <row r="49" spans="1:11" ht="20.149999999999999" customHeight="1">
      <c r="A49" s="3">
        <v>48</v>
      </c>
      <c r="B49" s="4" t="s">
        <v>79</v>
      </c>
      <c r="C49" s="4" t="s">
        <v>35</v>
      </c>
      <c r="D49" s="3">
        <f>VLOOKUP(C49,'sector-factor'!$B$2:$D$23,2,FALSE)</f>
        <v>0.6</v>
      </c>
      <c r="E49" s="3">
        <f>VLOOKUP(C49,'sector-factor'!$B$2:$D$23,3,FALSE)</f>
        <v>0.4</v>
      </c>
      <c r="F49" s="3" t="s">
        <v>19</v>
      </c>
      <c r="G49" s="3">
        <f t="shared" si="0"/>
        <v>30</v>
      </c>
      <c r="H49" s="4" t="s">
        <v>20</v>
      </c>
      <c r="I49" s="5">
        <v>50.875</v>
      </c>
      <c r="J49" s="6" t="s">
        <v>50</v>
      </c>
      <c r="K49" s="16">
        <f t="shared" si="1"/>
        <v>38.35</v>
      </c>
    </row>
    <row r="50" spans="1:11" ht="20.149999999999999" customHeight="1">
      <c r="A50" s="3">
        <v>49</v>
      </c>
      <c r="B50" s="4" t="s">
        <v>80</v>
      </c>
      <c r="C50" s="4" t="s">
        <v>23</v>
      </c>
      <c r="D50" s="3">
        <f>VLOOKUP(C50,'sector-factor'!$B$2:$D$23,2,FALSE)</f>
        <v>0.3</v>
      </c>
      <c r="E50" s="3">
        <f>VLOOKUP(C50,'sector-factor'!$B$2:$D$23,3,FALSE)</f>
        <v>0.7</v>
      </c>
      <c r="F50" s="3" t="s">
        <v>14</v>
      </c>
      <c r="G50" s="3">
        <f t="shared" si="0"/>
        <v>50</v>
      </c>
      <c r="H50" s="4" t="s">
        <v>15</v>
      </c>
      <c r="I50" s="5">
        <v>61</v>
      </c>
      <c r="J50" s="6" t="s">
        <v>11</v>
      </c>
      <c r="K50" s="16">
        <f t="shared" si="1"/>
        <v>57.699999999999996</v>
      </c>
    </row>
    <row r="51" spans="1:11" ht="20.149999999999999" customHeight="1">
      <c r="A51" s="3">
        <v>50</v>
      </c>
      <c r="B51" s="4" t="s">
        <v>81</v>
      </c>
      <c r="C51" s="4" t="s">
        <v>13</v>
      </c>
      <c r="D51" s="3">
        <f>VLOOKUP(C51,'sector-factor'!$B$2:$D$23,2,FALSE)</f>
        <v>0.6</v>
      </c>
      <c r="E51" s="3">
        <f>VLOOKUP(C51,'sector-factor'!$B$2:$D$23,3,FALSE)</f>
        <v>0.4</v>
      </c>
      <c r="F51" s="3" t="s">
        <v>14</v>
      </c>
      <c r="G51" s="3">
        <f t="shared" si="0"/>
        <v>50</v>
      </c>
      <c r="H51" s="4" t="s">
        <v>15</v>
      </c>
      <c r="I51" s="5">
        <v>67</v>
      </c>
      <c r="J51" s="6" t="s">
        <v>11</v>
      </c>
      <c r="K51" s="16">
        <f t="shared" si="1"/>
        <v>56.8</v>
      </c>
    </row>
    <row r="52" spans="1:11" ht="20.149999999999999" customHeight="1">
      <c r="A52" s="3">
        <v>51</v>
      </c>
      <c r="B52" s="4" t="s">
        <v>82</v>
      </c>
      <c r="C52" s="4" t="s">
        <v>45</v>
      </c>
      <c r="D52" s="3">
        <f>VLOOKUP(C52,'sector-factor'!$B$2:$D$23,2,FALSE)</f>
        <v>0.65</v>
      </c>
      <c r="E52" s="3">
        <f>VLOOKUP(C52,'sector-factor'!$B$2:$D$23,3,FALSE)</f>
        <v>0.35</v>
      </c>
      <c r="F52" s="3" t="s">
        <v>14</v>
      </c>
      <c r="G52" s="3">
        <f t="shared" si="0"/>
        <v>50</v>
      </c>
      <c r="H52" s="4" t="s">
        <v>15</v>
      </c>
      <c r="I52" s="5">
        <v>71.625</v>
      </c>
      <c r="J52" s="6" t="s">
        <v>11</v>
      </c>
      <c r="K52" s="16">
        <f t="shared" si="1"/>
        <v>57.568749999999994</v>
      </c>
    </row>
    <row r="53" spans="1:11" ht="20.149999999999999" customHeight="1">
      <c r="A53" s="3">
        <v>52</v>
      </c>
      <c r="B53" s="4" t="s">
        <v>83</v>
      </c>
      <c r="C53" s="4" t="s">
        <v>29</v>
      </c>
      <c r="D53" s="3">
        <f>VLOOKUP(C53,'sector-factor'!$B$2:$D$23,2,FALSE)</f>
        <v>0.65</v>
      </c>
      <c r="E53" s="3">
        <f>VLOOKUP(C53,'sector-factor'!$B$2:$D$23,3,FALSE)</f>
        <v>0.35</v>
      </c>
      <c r="F53" s="3" t="s">
        <v>14</v>
      </c>
      <c r="G53" s="3">
        <f t="shared" si="0"/>
        <v>50</v>
      </c>
      <c r="H53" s="4" t="s">
        <v>15</v>
      </c>
      <c r="I53" s="5">
        <v>73.75</v>
      </c>
      <c r="J53" s="6" t="s">
        <v>11</v>
      </c>
      <c r="K53" s="16">
        <f t="shared" si="1"/>
        <v>58.3125</v>
      </c>
    </row>
    <row r="54" spans="1:11" ht="20.149999999999999" customHeight="1">
      <c r="A54" s="3">
        <v>53</v>
      </c>
      <c r="B54" s="4" t="s">
        <v>84</v>
      </c>
      <c r="C54" s="4" t="s">
        <v>13</v>
      </c>
      <c r="D54" s="3">
        <f>VLOOKUP(C54,'sector-factor'!$B$2:$D$23,2,FALSE)</f>
        <v>0.6</v>
      </c>
      <c r="E54" s="3">
        <f>VLOOKUP(C54,'sector-factor'!$B$2:$D$23,3,FALSE)</f>
        <v>0.4</v>
      </c>
      <c r="F54" s="3" t="s">
        <v>19</v>
      </c>
      <c r="G54" s="3">
        <f t="shared" si="0"/>
        <v>30</v>
      </c>
      <c r="H54" s="4" t="s">
        <v>20</v>
      </c>
      <c r="I54" s="5">
        <v>70.25</v>
      </c>
      <c r="J54" s="6" t="s">
        <v>11</v>
      </c>
      <c r="K54" s="16">
        <f t="shared" si="1"/>
        <v>46.1</v>
      </c>
    </row>
    <row r="55" spans="1:11" ht="20.149999999999999" customHeight="1">
      <c r="A55" s="3">
        <v>54</v>
      </c>
      <c r="B55" s="4" t="s">
        <v>85</v>
      </c>
      <c r="C55" s="4" t="s">
        <v>13</v>
      </c>
      <c r="D55" s="3">
        <f>VLOOKUP(C55,'sector-factor'!$B$2:$D$23,2,FALSE)</f>
        <v>0.6</v>
      </c>
      <c r="E55" s="3">
        <f>VLOOKUP(C55,'sector-factor'!$B$2:$D$23,3,FALSE)</f>
        <v>0.4</v>
      </c>
      <c r="F55" s="3" t="s">
        <v>19</v>
      </c>
      <c r="G55" s="3">
        <f t="shared" si="0"/>
        <v>30</v>
      </c>
      <c r="H55" s="4" t="s">
        <v>20</v>
      </c>
      <c r="I55" s="5">
        <v>63.5</v>
      </c>
      <c r="J55" s="6" t="s">
        <v>11</v>
      </c>
      <c r="K55" s="16">
        <f t="shared" si="1"/>
        <v>43.400000000000006</v>
      </c>
    </row>
    <row r="56" spans="1:11" ht="20.149999999999999" customHeight="1">
      <c r="A56" s="3">
        <v>55</v>
      </c>
      <c r="B56" s="4" t="s">
        <v>86</v>
      </c>
      <c r="C56" s="4" t="s">
        <v>35</v>
      </c>
      <c r="D56" s="3">
        <f>VLOOKUP(C56,'sector-factor'!$B$2:$D$23,2,FALSE)</f>
        <v>0.6</v>
      </c>
      <c r="E56" s="3">
        <f>VLOOKUP(C56,'sector-factor'!$B$2:$D$23,3,FALSE)</f>
        <v>0.4</v>
      </c>
      <c r="F56" s="3" t="s">
        <v>14</v>
      </c>
      <c r="G56" s="3">
        <f t="shared" si="0"/>
        <v>50</v>
      </c>
      <c r="H56" s="4" t="s">
        <v>15</v>
      </c>
      <c r="I56" s="5">
        <v>68.5</v>
      </c>
      <c r="J56" s="6" t="s">
        <v>11</v>
      </c>
      <c r="K56" s="16">
        <f t="shared" si="1"/>
        <v>57.400000000000006</v>
      </c>
    </row>
    <row r="57" spans="1:11" ht="20.149999999999999" customHeight="1">
      <c r="A57" s="3">
        <v>56</v>
      </c>
      <c r="B57" s="4" t="s">
        <v>87</v>
      </c>
      <c r="C57" s="4" t="s">
        <v>45</v>
      </c>
      <c r="D57" s="3">
        <f>VLOOKUP(C57,'sector-factor'!$B$2:$D$23,2,FALSE)</f>
        <v>0.65</v>
      </c>
      <c r="E57" s="3">
        <f>VLOOKUP(C57,'sector-factor'!$B$2:$D$23,3,FALSE)</f>
        <v>0.35</v>
      </c>
      <c r="F57" s="3" t="s">
        <v>19</v>
      </c>
      <c r="G57" s="3">
        <f t="shared" si="0"/>
        <v>30</v>
      </c>
      <c r="H57" s="4" t="s">
        <v>20</v>
      </c>
      <c r="I57" s="5">
        <v>61.750000000000007</v>
      </c>
      <c r="J57" s="6" t="s">
        <v>11</v>
      </c>
      <c r="K57" s="16">
        <f t="shared" si="1"/>
        <v>41.112499999999997</v>
      </c>
    </row>
    <row r="58" spans="1:11" ht="20.149999999999999" customHeight="1">
      <c r="A58" s="3">
        <v>57</v>
      </c>
      <c r="B58" s="4" t="s">
        <v>88</v>
      </c>
      <c r="C58" s="4" t="s">
        <v>37</v>
      </c>
      <c r="D58" s="3">
        <f>VLOOKUP(C58,'sector-factor'!$B$2:$D$23,2,FALSE)</f>
        <v>0.7</v>
      </c>
      <c r="E58" s="3">
        <f>VLOOKUP(C58,'sector-factor'!$B$2:$D$23,3,FALSE)</f>
        <v>0.3</v>
      </c>
      <c r="F58" s="3" t="s">
        <v>9</v>
      </c>
      <c r="G58" s="3">
        <f t="shared" si="0"/>
        <v>70</v>
      </c>
      <c r="H58" s="4" t="s">
        <v>10</v>
      </c>
      <c r="I58" s="5">
        <v>72.875</v>
      </c>
      <c r="J58" s="6" t="s">
        <v>11</v>
      </c>
      <c r="K58" s="16">
        <f t="shared" si="1"/>
        <v>70.862499999999997</v>
      </c>
    </row>
    <row r="59" spans="1:11" ht="20.149999999999999" customHeight="1">
      <c r="A59" s="3">
        <v>58</v>
      </c>
      <c r="B59" s="4" t="s">
        <v>89</v>
      </c>
      <c r="C59" s="4" t="s">
        <v>96</v>
      </c>
      <c r="D59" s="3">
        <f>VLOOKUP(C59,'sector-factor'!$B$2:$D$23,2,FALSE)</f>
        <v>0.4</v>
      </c>
      <c r="E59" s="3">
        <f>VLOOKUP(C59,'sector-factor'!$B$2:$D$23,3,FALSE)</f>
        <v>0.6</v>
      </c>
      <c r="F59" s="3" t="s">
        <v>14</v>
      </c>
      <c r="G59" s="3">
        <f t="shared" si="0"/>
        <v>50</v>
      </c>
      <c r="H59" s="4" t="s">
        <v>15</v>
      </c>
      <c r="I59" s="5">
        <v>77.5</v>
      </c>
      <c r="J59" s="6" t="s">
        <v>41</v>
      </c>
      <c r="K59" s="16">
        <f t="shared" si="1"/>
        <v>66.5</v>
      </c>
    </row>
    <row r="60" spans="1:11" ht="20.149999999999999" customHeight="1">
      <c r="A60" s="3">
        <v>59</v>
      </c>
      <c r="B60" s="4" t="s">
        <v>90</v>
      </c>
      <c r="C60" s="4" t="s">
        <v>45</v>
      </c>
      <c r="D60" s="3">
        <f>VLOOKUP(C60,'sector-factor'!$B$2:$D$23,2,FALSE)</f>
        <v>0.65</v>
      </c>
      <c r="E60" s="3">
        <f>VLOOKUP(C60,'sector-factor'!$B$2:$D$23,3,FALSE)</f>
        <v>0.35</v>
      </c>
      <c r="F60" s="3" t="s">
        <v>9</v>
      </c>
      <c r="G60" s="3">
        <f t="shared" si="0"/>
        <v>70</v>
      </c>
      <c r="H60" s="4" t="s">
        <v>10</v>
      </c>
      <c r="I60" s="5">
        <v>48.875</v>
      </c>
      <c r="J60" s="6" t="s">
        <v>50</v>
      </c>
      <c r="K60" s="16">
        <f t="shared" si="1"/>
        <v>62.606250000000003</v>
      </c>
    </row>
    <row r="61" spans="1:11" ht="20.149999999999999" customHeight="1">
      <c r="A61" s="3">
        <v>60</v>
      </c>
      <c r="B61" s="4" t="s">
        <v>91</v>
      </c>
      <c r="C61" s="4" t="s">
        <v>43</v>
      </c>
      <c r="D61" s="3">
        <f>VLOOKUP(C61,'sector-factor'!$B$2:$D$23,2,FALSE)</f>
        <v>0.75</v>
      </c>
      <c r="E61" s="3">
        <f>VLOOKUP(C61,'sector-factor'!$B$2:$D$23,3,FALSE)</f>
        <v>0.25</v>
      </c>
      <c r="F61" s="3" t="s">
        <v>19</v>
      </c>
      <c r="G61" s="3">
        <f t="shared" si="0"/>
        <v>30</v>
      </c>
      <c r="H61" s="4" t="s">
        <v>20</v>
      </c>
      <c r="I61" s="5">
        <v>61.750000000000007</v>
      </c>
      <c r="J61" s="6" t="s">
        <v>11</v>
      </c>
      <c r="K61" s="16">
        <f t="shared" si="1"/>
        <v>37.9375</v>
      </c>
    </row>
    <row r="62" spans="1:11" ht="20.149999999999999" customHeight="1">
      <c r="A62" s="3">
        <v>61</v>
      </c>
      <c r="B62" s="4" t="s">
        <v>92</v>
      </c>
      <c r="C62" s="4" t="s">
        <v>35</v>
      </c>
      <c r="D62" s="3">
        <f>VLOOKUP(C62,'sector-factor'!$B$2:$D$23,2,FALSE)</f>
        <v>0.6</v>
      </c>
      <c r="E62" s="3">
        <f>VLOOKUP(C62,'sector-factor'!$B$2:$D$23,3,FALSE)</f>
        <v>0.4</v>
      </c>
      <c r="F62" s="3" t="s">
        <v>19</v>
      </c>
      <c r="G62" s="3">
        <f t="shared" si="0"/>
        <v>30</v>
      </c>
      <c r="H62" s="4" t="s">
        <v>20</v>
      </c>
      <c r="I62" s="5">
        <v>70.25</v>
      </c>
      <c r="J62" s="6" t="s">
        <v>11</v>
      </c>
      <c r="K62" s="16">
        <f t="shared" si="1"/>
        <v>46.1</v>
      </c>
    </row>
    <row r="63" spans="1:11" ht="20.149999999999999" customHeight="1">
      <c r="A63" s="3">
        <v>62</v>
      </c>
      <c r="B63" s="4" t="s">
        <v>93</v>
      </c>
      <c r="C63" s="4" t="s">
        <v>18</v>
      </c>
      <c r="D63" s="3">
        <f>VLOOKUP(C63,'sector-factor'!$B$2:$D$23,2,FALSE)</f>
        <v>0.7</v>
      </c>
      <c r="E63" s="3">
        <f>VLOOKUP(C63,'sector-factor'!$B$2:$D$23,3,FALSE)</f>
        <v>0.3</v>
      </c>
      <c r="F63" s="3" t="s">
        <v>14</v>
      </c>
      <c r="G63" s="3">
        <f t="shared" si="0"/>
        <v>50</v>
      </c>
      <c r="H63" s="4" t="s">
        <v>15</v>
      </c>
      <c r="I63" s="5">
        <v>68.375</v>
      </c>
      <c r="J63" s="6" t="s">
        <v>11</v>
      </c>
      <c r="K63" s="16">
        <f t="shared" si="1"/>
        <v>55.512500000000003</v>
      </c>
    </row>
    <row r="64" spans="1:11" ht="20.149999999999999" customHeight="1">
      <c r="A64" s="3">
        <v>63</v>
      </c>
      <c r="B64" s="4" t="s">
        <v>94</v>
      </c>
      <c r="C64" s="4" t="s">
        <v>37</v>
      </c>
      <c r="D64" s="3">
        <f>VLOOKUP(C64,'sector-factor'!$B$2:$D$23,2,FALSE)</f>
        <v>0.7</v>
      </c>
      <c r="E64" s="3">
        <f>VLOOKUP(C64,'sector-factor'!$B$2:$D$23,3,FALSE)</f>
        <v>0.3</v>
      </c>
      <c r="F64" s="3" t="s">
        <v>14</v>
      </c>
      <c r="G64" s="3">
        <f t="shared" si="0"/>
        <v>50</v>
      </c>
      <c r="H64" s="4" t="s">
        <v>15</v>
      </c>
      <c r="I64" s="5">
        <v>39.875</v>
      </c>
      <c r="J64" s="6" t="s">
        <v>50</v>
      </c>
      <c r="K64" s="16">
        <f t="shared" si="1"/>
        <v>46.962499999999999</v>
      </c>
    </row>
    <row r="65" spans="1:11" ht="20.149999999999999" customHeight="1">
      <c r="A65" s="3">
        <v>64</v>
      </c>
      <c r="B65" s="4" t="s">
        <v>95</v>
      </c>
      <c r="C65" s="4" t="s">
        <v>96</v>
      </c>
      <c r="D65" s="3">
        <f>VLOOKUP(C65,'sector-factor'!$B$2:$D$23,2,FALSE)</f>
        <v>0.4</v>
      </c>
      <c r="E65" s="3">
        <f>VLOOKUP(C65,'sector-factor'!$B$2:$D$23,3,FALSE)</f>
        <v>0.6</v>
      </c>
      <c r="F65" s="3" t="s">
        <v>14</v>
      </c>
      <c r="G65" s="3">
        <f t="shared" si="0"/>
        <v>50</v>
      </c>
      <c r="H65" s="4" t="s">
        <v>15</v>
      </c>
      <c r="I65" s="5">
        <v>70.25</v>
      </c>
      <c r="J65" s="6" t="s">
        <v>11</v>
      </c>
      <c r="K65" s="16">
        <f t="shared" si="1"/>
        <v>62.15</v>
      </c>
    </row>
    <row r="66" spans="1:11" ht="20.149999999999999" customHeight="1">
      <c r="A66" s="3">
        <v>65</v>
      </c>
      <c r="B66" s="4" t="s">
        <v>97</v>
      </c>
      <c r="C66" s="4" t="s">
        <v>29</v>
      </c>
      <c r="D66" s="3">
        <f>VLOOKUP(C66,'sector-factor'!$B$2:$D$23,2,FALSE)</f>
        <v>0.65</v>
      </c>
      <c r="E66" s="3">
        <f>VLOOKUP(C66,'sector-factor'!$B$2:$D$23,3,FALSE)</f>
        <v>0.35</v>
      </c>
      <c r="F66" s="3" t="s">
        <v>9</v>
      </c>
      <c r="G66" s="3">
        <f t="shared" si="0"/>
        <v>70</v>
      </c>
      <c r="H66" s="4" t="s">
        <v>10</v>
      </c>
      <c r="I66" s="5">
        <v>79.5</v>
      </c>
      <c r="J66" s="6" t="s">
        <v>41</v>
      </c>
      <c r="K66" s="16">
        <f t="shared" si="1"/>
        <v>73.325000000000003</v>
      </c>
    </row>
    <row r="67" spans="1:11" ht="20.149999999999999" customHeight="1">
      <c r="A67" s="3">
        <v>66</v>
      </c>
      <c r="B67" s="4" t="s">
        <v>98</v>
      </c>
      <c r="C67" s="4" t="s">
        <v>23</v>
      </c>
      <c r="D67" s="3">
        <f>VLOOKUP(C67,'sector-factor'!$B$2:$D$23,2,FALSE)</f>
        <v>0.3</v>
      </c>
      <c r="E67" s="3">
        <f>VLOOKUP(C67,'sector-factor'!$B$2:$D$23,3,FALSE)</f>
        <v>0.7</v>
      </c>
      <c r="F67" s="3" t="s">
        <v>9</v>
      </c>
      <c r="G67" s="3">
        <f t="shared" ref="G67:G130" si="2">VLOOKUP(F67,$M$2:$N$6,2,FALSE)</f>
        <v>70</v>
      </c>
      <c r="H67" s="4" t="s">
        <v>10</v>
      </c>
      <c r="I67" s="5">
        <v>71.875</v>
      </c>
      <c r="J67" s="6" t="s">
        <v>11</v>
      </c>
      <c r="K67" s="16">
        <f t="shared" ref="K67:K130" si="3">G67*D67+I67*E67</f>
        <v>71.3125</v>
      </c>
    </row>
    <row r="68" spans="1:11" ht="20.149999999999999" customHeight="1">
      <c r="A68" s="3">
        <v>67</v>
      </c>
      <c r="B68" s="4" t="s">
        <v>99</v>
      </c>
      <c r="C68" s="4" t="s">
        <v>29</v>
      </c>
      <c r="D68" s="3">
        <f>VLOOKUP(C68,'sector-factor'!$B$2:$D$23,2,FALSE)</f>
        <v>0.65</v>
      </c>
      <c r="E68" s="3">
        <f>VLOOKUP(C68,'sector-factor'!$B$2:$D$23,3,FALSE)</f>
        <v>0.35</v>
      </c>
      <c r="F68" s="3" t="s">
        <v>14</v>
      </c>
      <c r="G68" s="3">
        <f t="shared" si="2"/>
        <v>50</v>
      </c>
      <c r="H68" s="4" t="s">
        <v>15</v>
      </c>
      <c r="I68" s="5">
        <v>61.625</v>
      </c>
      <c r="J68" s="6" t="s">
        <v>11</v>
      </c>
      <c r="K68" s="16">
        <f t="shared" si="3"/>
        <v>54.068749999999994</v>
      </c>
    </row>
    <row r="69" spans="1:11" ht="20.149999999999999" customHeight="1">
      <c r="A69" s="3">
        <v>68</v>
      </c>
      <c r="B69" s="4" t="s">
        <v>100</v>
      </c>
      <c r="C69" s="4" t="s">
        <v>29</v>
      </c>
      <c r="D69" s="3">
        <f>VLOOKUP(C69,'sector-factor'!$B$2:$D$23,2,FALSE)</f>
        <v>0.65</v>
      </c>
      <c r="E69" s="3">
        <f>VLOOKUP(C69,'sector-factor'!$B$2:$D$23,3,FALSE)</f>
        <v>0.35</v>
      </c>
      <c r="F69" s="3" t="s">
        <v>14</v>
      </c>
      <c r="G69" s="3">
        <f t="shared" si="2"/>
        <v>50</v>
      </c>
      <c r="H69" s="4" t="s">
        <v>15</v>
      </c>
      <c r="I69" s="5">
        <v>64.125</v>
      </c>
      <c r="J69" s="6" t="s">
        <v>11</v>
      </c>
      <c r="K69" s="16">
        <f t="shared" si="3"/>
        <v>54.943749999999994</v>
      </c>
    </row>
    <row r="70" spans="1:11" ht="20.149999999999999" customHeight="1">
      <c r="A70" s="3">
        <v>69</v>
      </c>
      <c r="B70" s="4" t="s">
        <v>101</v>
      </c>
      <c r="C70" s="4" t="s">
        <v>13</v>
      </c>
      <c r="D70" s="3">
        <f>VLOOKUP(C70,'sector-factor'!$B$2:$D$23,2,FALSE)</f>
        <v>0.6</v>
      </c>
      <c r="E70" s="3">
        <f>VLOOKUP(C70,'sector-factor'!$B$2:$D$23,3,FALSE)</f>
        <v>0.4</v>
      </c>
      <c r="F70" s="3" t="s">
        <v>19</v>
      </c>
      <c r="G70" s="3">
        <f t="shared" si="2"/>
        <v>30</v>
      </c>
      <c r="H70" s="4" t="s">
        <v>20</v>
      </c>
      <c r="I70" s="5">
        <v>61.875</v>
      </c>
      <c r="J70" s="6" t="s">
        <v>11</v>
      </c>
      <c r="K70" s="16">
        <f t="shared" si="3"/>
        <v>42.75</v>
      </c>
    </row>
    <row r="71" spans="1:11" ht="20.149999999999999" customHeight="1">
      <c r="A71" s="3">
        <v>70</v>
      </c>
      <c r="B71" s="4" t="s">
        <v>102</v>
      </c>
      <c r="C71" s="4" t="s">
        <v>37</v>
      </c>
      <c r="D71" s="3">
        <f>VLOOKUP(C71,'sector-factor'!$B$2:$D$23,2,FALSE)</f>
        <v>0.7</v>
      </c>
      <c r="E71" s="3">
        <f>VLOOKUP(C71,'sector-factor'!$B$2:$D$23,3,FALSE)</f>
        <v>0.3</v>
      </c>
      <c r="F71" s="3" t="s">
        <v>19</v>
      </c>
      <c r="G71" s="3">
        <f t="shared" si="2"/>
        <v>30</v>
      </c>
      <c r="H71" s="4" t="s">
        <v>20</v>
      </c>
      <c r="I71" s="5">
        <v>48.5</v>
      </c>
      <c r="J71" s="6" t="s">
        <v>50</v>
      </c>
      <c r="K71" s="16">
        <f t="shared" si="3"/>
        <v>35.549999999999997</v>
      </c>
    </row>
    <row r="72" spans="1:11" ht="20.149999999999999" customHeight="1">
      <c r="A72" s="3">
        <v>71</v>
      </c>
      <c r="B72" s="4" t="s">
        <v>103</v>
      </c>
      <c r="C72" s="4" t="s">
        <v>29</v>
      </c>
      <c r="D72" s="3">
        <f>VLOOKUP(C72,'sector-factor'!$B$2:$D$23,2,FALSE)</f>
        <v>0.65</v>
      </c>
      <c r="E72" s="3">
        <f>VLOOKUP(C72,'sector-factor'!$B$2:$D$23,3,FALSE)</f>
        <v>0.35</v>
      </c>
      <c r="F72" s="3" t="s">
        <v>19</v>
      </c>
      <c r="G72" s="3">
        <f t="shared" si="2"/>
        <v>30</v>
      </c>
      <c r="H72" s="4" t="s">
        <v>20</v>
      </c>
      <c r="I72" s="5">
        <v>50.375</v>
      </c>
      <c r="J72" s="6" t="s">
        <v>50</v>
      </c>
      <c r="K72" s="16">
        <f t="shared" si="3"/>
        <v>37.131249999999994</v>
      </c>
    </row>
    <row r="73" spans="1:11" ht="20.149999999999999" customHeight="1">
      <c r="A73" s="3">
        <v>72</v>
      </c>
      <c r="B73" s="4" t="s">
        <v>104</v>
      </c>
      <c r="C73" s="4" t="s">
        <v>13</v>
      </c>
      <c r="D73" s="3">
        <f>VLOOKUP(C73,'sector-factor'!$B$2:$D$23,2,FALSE)</f>
        <v>0.6</v>
      </c>
      <c r="E73" s="3">
        <f>VLOOKUP(C73,'sector-factor'!$B$2:$D$23,3,FALSE)</f>
        <v>0.4</v>
      </c>
      <c r="F73" s="3" t="s">
        <v>14</v>
      </c>
      <c r="G73" s="3">
        <f t="shared" si="2"/>
        <v>50</v>
      </c>
      <c r="H73" s="4" t="s">
        <v>15</v>
      </c>
      <c r="I73" s="5">
        <v>49.125</v>
      </c>
      <c r="J73" s="6" t="s">
        <v>50</v>
      </c>
      <c r="K73" s="16">
        <f t="shared" si="3"/>
        <v>49.650000000000006</v>
      </c>
    </row>
    <row r="74" spans="1:11" ht="20.149999999999999" customHeight="1">
      <c r="A74" s="3">
        <v>73</v>
      </c>
      <c r="B74" s="4" t="s">
        <v>105</v>
      </c>
      <c r="C74" s="4" t="s">
        <v>37</v>
      </c>
      <c r="D74" s="3">
        <f>VLOOKUP(C74,'sector-factor'!$B$2:$D$23,2,FALSE)</f>
        <v>0.7</v>
      </c>
      <c r="E74" s="3">
        <f>VLOOKUP(C74,'sector-factor'!$B$2:$D$23,3,FALSE)</f>
        <v>0.3</v>
      </c>
      <c r="F74" s="3" t="s">
        <v>14</v>
      </c>
      <c r="G74" s="3">
        <f t="shared" si="2"/>
        <v>50</v>
      </c>
      <c r="H74" s="4" t="s">
        <v>15</v>
      </c>
      <c r="I74" s="5">
        <v>76</v>
      </c>
      <c r="J74" s="6" t="s">
        <v>41</v>
      </c>
      <c r="K74" s="16">
        <f t="shared" si="3"/>
        <v>57.8</v>
      </c>
    </row>
    <row r="75" spans="1:11" ht="20.149999999999999" customHeight="1">
      <c r="A75" s="3">
        <v>74</v>
      </c>
      <c r="B75" s="4" t="s">
        <v>106</v>
      </c>
      <c r="C75" s="4" t="s">
        <v>29</v>
      </c>
      <c r="D75" s="3">
        <f>VLOOKUP(C75,'sector-factor'!$B$2:$D$23,2,FALSE)</f>
        <v>0.65</v>
      </c>
      <c r="E75" s="3">
        <f>VLOOKUP(C75,'sector-factor'!$B$2:$D$23,3,FALSE)</f>
        <v>0.35</v>
      </c>
      <c r="F75" s="3" t="s">
        <v>14</v>
      </c>
      <c r="G75" s="3">
        <f t="shared" si="2"/>
        <v>50</v>
      </c>
      <c r="H75" s="4" t="s">
        <v>15</v>
      </c>
      <c r="I75" s="5">
        <v>47.625</v>
      </c>
      <c r="J75" s="6" t="s">
        <v>50</v>
      </c>
      <c r="K75" s="16">
        <f t="shared" si="3"/>
        <v>49.168750000000003</v>
      </c>
    </row>
    <row r="76" spans="1:11" ht="20.149999999999999" customHeight="1">
      <c r="A76" s="3">
        <v>75</v>
      </c>
      <c r="B76" s="4" t="s">
        <v>107</v>
      </c>
      <c r="C76" s="4" t="s">
        <v>13</v>
      </c>
      <c r="D76" s="3">
        <f>VLOOKUP(C76,'sector-factor'!$B$2:$D$23,2,FALSE)</f>
        <v>0.6</v>
      </c>
      <c r="E76" s="3">
        <f>VLOOKUP(C76,'sector-factor'!$B$2:$D$23,3,FALSE)</f>
        <v>0.4</v>
      </c>
      <c r="F76" s="3" t="s">
        <v>14</v>
      </c>
      <c r="G76" s="3">
        <f t="shared" si="2"/>
        <v>50</v>
      </c>
      <c r="H76" s="4" t="s">
        <v>15</v>
      </c>
      <c r="I76" s="5">
        <v>50.625</v>
      </c>
      <c r="J76" s="6" t="s">
        <v>50</v>
      </c>
      <c r="K76" s="16">
        <f t="shared" si="3"/>
        <v>50.25</v>
      </c>
    </row>
    <row r="77" spans="1:11" ht="20.149999999999999" customHeight="1">
      <c r="A77" s="3">
        <v>76</v>
      </c>
      <c r="B77" s="4" t="s">
        <v>108</v>
      </c>
      <c r="C77" s="4" t="s">
        <v>8</v>
      </c>
      <c r="D77" s="3">
        <f>VLOOKUP(C77,'sector-factor'!$B$2:$D$23,2,FALSE)</f>
        <v>0.6</v>
      </c>
      <c r="E77" s="3">
        <f>VLOOKUP(C77,'sector-factor'!$B$2:$D$23,3,FALSE)</f>
        <v>0.4</v>
      </c>
      <c r="F77" s="3" t="s">
        <v>19</v>
      </c>
      <c r="G77" s="3">
        <f t="shared" si="2"/>
        <v>30</v>
      </c>
      <c r="H77" s="4" t="s">
        <v>20</v>
      </c>
      <c r="I77" s="5">
        <v>48.125</v>
      </c>
      <c r="J77" s="6" t="s">
        <v>50</v>
      </c>
      <c r="K77" s="16">
        <f t="shared" si="3"/>
        <v>37.25</v>
      </c>
    </row>
    <row r="78" spans="1:11" ht="20.149999999999999" customHeight="1">
      <c r="A78" s="3">
        <v>77</v>
      </c>
      <c r="B78" s="4" t="s">
        <v>109</v>
      </c>
      <c r="C78" s="4" t="s">
        <v>18</v>
      </c>
      <c r="D78" s="3">
        <f>VLOOKUP(C78,'sector-factor'!$B$2:$D$23,2,FALSE)</f>
        <v>0.7</v>
      </c>
      <c r="E78" s="3">
        <f>VLOOKUP(C78,'sector-factor'!$B$2:$D$23,3,FALSE)</f>
        <v>0.3</v>
      </c>
      <c r="F78" s="3" t="s">
        <v>19</v>
      </c>
      <c r="G78" s="3">
        <f t="shared" si="2"/>
        <v>30</v>
      </c>
      <c r="H78" s="4" t="s">
        <v>20</v>
      </c>
      <c r="I78" s="5">
        <v>66.25</v>
      </c>
      <c r="J78" s="6" t="s">
        <v>11</v>
      </c>
      <c r="K78" s="16">
        <f t="shared" si="3"/>
        <v>40.875</v>
      </c>
    </row>
    <row r="79" spans="1:11" ht="20.149999999999999" customHeight="1">
      <c r="A79" s="3">
        <v>78</v>
      </c>
      <c r="B79" s="4" t="s">
        <v>110</v>
      </c>
      <c r="C79" s="4" t="s">
        <v>13</v>
      </c>
      <c r="D79" s="3">
        <f>VLOOKUP(C79,'sector-factor'!$B$2:$D$23,2,FALSE)</f>
        <v>0.6</v>
      </c>
      <c r="E79" s="3">
        <f>VLOOKUP(C79,'sector-factor'!$B$2:$D$23,3,FALSE)</f>
        <v>0.4</v>
      </c>
      <c r="F79" s="3" t="s">
        <v>14</v>
      </c>
      <c r="G79" s="3">
        <f t="shared" si="2"/>
        <v>50</v>
      </c>
      <c r="H79" s="4" t="s">
        <v>15</v>
      </c>
      <c r="I79" s="5">
        <v>40.5</v>
      </c>
      <c r="J79" s="6" t="s">
        <v>50</v>
      </c>
      <c r="K79" s="16">
        <f t="shared" si="3"/>
        <v>46.2</v>
      </c>
    </row>
    <row r="80" spans="1:11" ht="20.149999999999999" customHeight="1">
      <c r="A80" s="3">
        <v>79</v>
      </c>
      <c r="B80" s="4" t="s">
        <v>111</v>
      </c>
      <c r="C80" s="4" t="s">
        <v>112</v>
      </c>
      <c r="D80" s="3">
        <f>VLOOKUP(C80,'sector-factor'!$B$2:$D$23,2,FALSE)</f>
        <v>0.55000000000000004</v>
      </c>
      <c r="E80" s="3">
        <f>VLOOKUP(C80,'sector-factor'!$B$2:$D$23,3,FALSE)</f>
        <v>0.45</v>
      </c>
      <c r="F80" s="3" t="s">
        <v>14</v>
      </c>
      <c r="G80" s="3">
        <f t="shared" si="2"/>
        <v>50</v>
      </c>
      <c r="H80" s="4" t="s">
        <v>15</v>
      </c>
      <c r="I80" s="5">
        <v>59.875</v>
      </c>
      <c r="J80" s="6" t="s">
        <v>11</v>
      </c>
      <c r="K80" s="16">
        <f t="shared" si="3"/>
        <v>54.443750000000009</v>
      </c>
    </row>
    <row r="81" spans="1:11" ht="20.149999999999999" customHeight="1">
      <c r="A81" s="3">
        <v>80</v>
      </c>
      <c r="B81" s="4" t="s">
        <v>113</v>
      </c>
      <c r="C81" s="4" t="s">
        <v>114</v>
      </c>
      <c r="D81" s="3">
        <f>VLOOKUP(C81,'sector-factor'!$B$2:$D$23,2,FALSE)</f>
        <v>0.5</v>
      </c>
      <c r="E81" s="3">
        <f>VLOOKUP(C81,'sector-factor'!$B$2:$D$23,3,FALSE)</f>
        <v>0.5</v>
      </c>
      <c r="F81" s="3" t="s">
        <v>9</v>
      </c>
      <c r="G81" s="3">
        <f t="shared" si="2"/>
        <v>70</v>
      </c>
      <c r="H81" s="4" t="s">
        <v>10</v>
      </c>
      <c r="I81" s="5">
        <v>65.25</v>
      </c>
      <c r="J81" s="6" t="s">
        <v>11</v>
      </c>
      <c r="K81" s="16">
        <f t="shared" si="3"/>
        <v>67.625</v>
      </c>
    </row>
    <row r="82" spans="1:11" ht="20.149999999999999" customHeight="1">
      <c r="A82" s="3">
        <v>81</v>
      </c>
      <c r="B82" s="4" t="s">
        <v>115</v>
      </c>
      <c r="C82" s="4" t="s">
        <v>114</v>
      </c>
      <c r="D82" s="3">
        <f>VLOOKUP(C82,'sector-factor'!$B$2:$D$23,2,FALSE)</f>
        <v>0.5</v>
      </c>
      <c r="E82" s="3">
        <f>VLOOKUP(C82,'sector-factor'!$B$2:$D$23,3,FALSE)</f>
        <v>0.5</v>
      </c>
      <c r="F82" s="3" t="s">
        <v>14</v>
      </c>
      <c r="G82" s="3">
        <f t="shared" si="2"/>
        <v>50</v>
      </c>
      <c r="H82" s="4" t="s">
        <v>15</v>
      </c>
      <c r="I82" s="5">
        <v>61.5</v>
      </c>
      <c r="J82" s="6" t="s">
        <v>11</v>
      </c>
      <c r="K82" s="16">
        <f t="shared" si="3"/>
        <v>55.75</v>
      </c>
    </row>
    <row r="83" spans="1:11" ht="20.149999999999999" customHeight="1">
      <c r="A83" s="3">
        <v>82</v>
      </c>
      <c r="B83" s="4" t="s">
        <v>116</v>
      </c>
      <c r="C83" s="4" t="s">
        <v>37</v>
      </c>
      <c r="D83" s="3">
        <f>VLOOKUP(C83,'sector-factor'!$B$2:$D$23,2,FALSE)</f>
        <v>0.7</v>
      </c>
      <c r="E83" s="3">
        <f>VLOOKUP(C83,'sector-factor'!$B$2:$D$23,3,FALSE)</f>
        <v>0.3</v>
      </c>
      <c r="F83" s="3" t="s">
        <v>14</v>
      </c>
      <c r="G83" s="3">
        <f t="shared" si="2"/>
        <v>50</v>
      </c>
      <c r="H83" s="4" t="s">
        <v>15</v>
      </c>
      <c r="I83" s="5">
        <v>61.5</v>
      </c>
      <c r="J83" s="6" t="s">
        <v>11</v>
      </c>
      <c r="K83" s="16">
        <f t="shared" si="3"/>
        <v>53.45</v>
      </c>
    </row>
    <row r="84" spans="1:11" ht="20.149999999999999" customHeight="1">
      <c r="A84" s="3">
        <v>83</v>
      </c>
      <c r="B84" s="4" t="s">
        <v>117</v>
      </c>
      <c r="C84" s="4" t="s">
        <v>96</v>
      </c>
      <c r="D84" s="3">
        <f>VLOOKUP(C84,'sector-factor'!$B$2:$D$23,2,FALSE)</f>
        <v>0.4</v>
      </c>
      <c r="E84" s="3">
        <f>VLOOKUP(C84,'sector-factor'!$B$2:$D$23,3,FALSE)</f>
        <v>0.6</v>
      </c>
      <c r="F84" s="3" t="s">
        <v>14</v>
      </c>
      <c r="G84" s="3">
        <f t="shared" si="2"/>
        <v>50</v>
      </c>
      <c r="H84" s="4" t="s">
        <v>15</v>
      </c>
      <c r="I84" s="5">
        <v>61.375</v>
      </c>
      <c r="J84" s="6" t="s">
        <v>11</v>
      </c>
      <c r="K84" s="16">
        <f t="shared" si="3"/>
        <v>56.824999999999996</v>
      </c>
    </row>
    <row r="85" spans="1:11" ht="20.149999999999999" customHeight="1">
      <c r="A85" s="3">
        <v>84</v>
      </c>
      <c r="B85" s="4" t="s">
        <v>118</v>
      </c>
      <c r="C85" s="4" t="s">
        <v>29</v>
      </c>
      <c r="D85" s="3">
        <f>VLOOKUP(C85,'sector-factor'!$B$2:$D$23,2,FALSE)</f>
        <v>0.65</v>
      </c>
      <c r="E85" s="3">
        <f>VLOOKUP(C85,'sector-factor'!$B$2:$D$23,3,FALSE)</f>
        <v>0.35</v>
      </c>
      <c r="F85" s="3" t="s">
        <v>19</v>
      </c>
      <c r="G85" s="3">
        <f t="shared" si="2"/>
        <v>30</v>
      </c>
      <c r="H85" s="4" t="s">
        <v>20</v>
      </c>
      <c r="I85" s="5">
        <v>63.249999999999993</v>
      </c>
      <c r="J85" s="6" t="s">
        <v>11</v>
      </c>
      <c r="K85" s="16">
        <f t="shared" si="3"/>
        <v>41.637499999999996</v>
      </c>
    </row>
    <row r="86" spans="1:11" ht="20.149999999999999" customHeight="1">
      <c r="A86" s="3">
        <v>85</v>
      </c>
      <c r="B86" s="4" t="s">
        <v>119</v>
      </c>
      <c r="C86" s="4" t="s">
        <v>13</v>
      </c>
      <c r="D86" s="3">
        <f>VLOOKUP(C86,'sector-factor'!$B$2:$D$23,2,FALSE)</f>
        <v>0.6</v>
      </c>
      <c r="E86" s="3">
        <f>VLOOKUP(C86,'sector-factor'!$B$2:$D$23,3,FALSE)</f>
        <v>0.4</v>
      </c>
      <c r="F86" s="3" t="s">
        <v>19</v>
      </c>
      <c r="G86" s="3">
        <f t="shared" si="2"/>
        <v>30</v>
      </c>
      <c r="H86" s="4" t="s">
        <v>20</v>
      </c>
      <c r="I86" s="5">
        <v>72.75</v>
      </c>
      <c r="J86" s="6" t="s">
        <v>11</v>
      </c>
      <c r="K86" s="16">
        <f t="shared" si="3"/>
        <v>47.1</v>
      </c>
    </row>
    <row r="87" spans="1:11" ht="20.149999999999999" customHeight="1">
      <c r="A87" s="3">
        <v>86</v>
      </c>
      <c r="B87" s="4" t="s">
        <v>120</v>
      </c>
      <c r="C87" s="4" t="s">
        <v>45</v>
      </c>
      <c r="D87" s="3">
        <f>VLOOKUP(C87,'sector-factor'!$B$2:$D$23,2,FALSE)</f>
        <v>0.65</v>
      </c>
      <c r="E87" s="3">
        <f>VLOOKUP(C87,'sector-factor'!$B$2:$D$23,3,FALSE)</f>
        <v>0.35</v>
      </c>
      <c r="F87" s="3" t="s">
        <v>14</v>
      </c>
      <c r="G87" s="3">
        <f t="shared" si="2"/>
        <v>50</v>
      </c>
      <c r="H87" s="4" t="s">
        <v>15</v>
      </c>
      <c r="I87" s="5">
        <v>67.375</v>
      </c>
      <c r="J87" s="6" t="s">
        <v>11</v>
      </c>
      <c r="K87" s="16">
        <f t="shared" si="3"/>
        <v>56.081249999999997</v>
      </c>
    </row>
    <row r="88" spans="1:11" ht="20.149999999999999" customHeight="1">
      <c r="A88" s="3">
        <v>87</v>
      </c>
      <c r="B88" s="4" t="s">
        <v>121</v>
      </c>
      <c r="C88" s="4" t="s">
        <v>29</v>
      </c>
      <c r="D88" s="3">
        <f>VLOOKUP(C88,'sector-factor'!$B$2:$D$23,2,FALSE)</f>
        <v>0.65</v>
      </c>
      <c r="E88" s="3">
        <f>VLOOKUP(C88,'sector-factor'!$B$2:$D$23,3,FALSE)</f>
        <v>0.35</v>
      </c>
      <c r="F88" s="3" t="s">
        <v>19</v>
      </c>
      <c r="G88" s="3">
        <f t="shared" si="2"/>
        <v>30</v>
      </c>
      <c r="H88" s="4" t="s">
        <v>20</v>
      </c>
      <c r="I88" s="5">
        <v>66</v>
      </c>
      <c r="J88" s="6" t="s">
        <v>11</v>
      </c>
      <c r="K88" s="16">
        <f t="shared" si="3"/>
        <v>42.599999999999994</v>
      </c>
    </row>
    <row r="89" spans="1:11" ht="20.149999999999999" customHeight="1">
      <c r="A89" s="3">
        <v>88</v>
      </c>
      <c r="B89" s="4" t="s">
        <v>122</v>
      </c>
      <c r="C89" s="4" t="s">
        <v>123</v>
      </c>
      <c r="D89" s="3">
        <f>VLOOKUP(C89,'sector-factor'!$B$2:$D$23,2,FALSE)</f>
        <v>0.45</v>
      </c>
      <c r="E89" s="3">
        <f>VLOOKUP(C89,'sector-factor'!$B$2:$D$23,3,FALSE)</f>
        <v>0.55000000000000004</v>
      </c>
      <c r="F89" s="3" t="s">
        <v>14</v>
      </c>
      <c r="G89" s="3">
        <f t="shared" si="2"/>
        <v>50</v>
      </c>
      <c r="H89" s="4" t="s">
        <v>15</v>
      </c>
      <c r="I89" s="5">
        <v>71.5</v>
      </c>
      <c r="J89" s="6" t="s">
        <v>11</v>
      </c>
      <c r="K89" s="16">
        <f t="shared" si="3"/>
        <v>61.825000000000003</v>
      </c>
    </row>
    <row r="90" spans="1:11" ht="20.149999999999999" customHeight="1">
      <c r="A90" s="3">
        <v>89</v>
      </c>
      <c r="B90" s="4" t="s">
        <v>124</v>
      </c>
      <c r="C90" s="4" t="s">
        <v>37</v>
      </c>
      <c r="D90" s="3">
        <f>VLOOKUP(C90,'sector-factor'!$B$2:$D$23,2,FALSE)</f>
        <v>0.7</v>
      </c>
      <c r="E90" s="3">
        <f>VLOOKUP(C90,'sector-factor'!$B$2:$D$23,3,FALSE)</f>
        <v>0.3</v>
      </c>
      <c r="F90" s="3" t="s">
        <v>14</v>
      </c>
      <c r="G90" s="3">
        <f t="shared" si="2"/>
        <v>50</v>
      </c>
      <c r="H90" s="4" t="s">
        <v>15</v>
      </c>
      <c r="I90" s="5">
        <v>63.875000000000007</v>
      </c>
      <c r="J90" s="6" t="s">
        <v>11</v>
      </c>
      <c r="K90" s="16">
        <f t="shared" si="3"/>
        <v>54.162500000000001</v>
      </c>
    </row>
    <row r="91" spans="1:11" ht="20.149999999999999" customHeight="1">
      <c r="A91" s="3">
        <v>90</v>
      </c>
      <c r="B91" s="4" t="s">
        <v>125</v>
      </c>
      <c r="C91" s="4" t="s">
        <v>26</v>
      </c>
      <c r="D91" s="3">
        <f>VLOOKUP(C91,'sector-factor'!$B$2:$D$23,2,FALSE)</f>
        <v>0.3</v>
      </c>
      <c r="E91" s="3">
        <f>VLOOKUP(C91,'sector-factor'!$B$2:$D$23,3,FALSE)</f>
        <v>0.7</v>
      </c>
      <c r="F91" s="3" t="s">
        <v>14</v>
      </c>
      <c r="G91" s="3">
        <f t="shared" si="2"/>
        <v>50</v>
      </c>
      <c r="H91" s="4" t="s">
        <v>15</v>
      </c>
      <c r="I91" s="5">
        <v>75.125</v>
      </c>
      <c r="J91" s="6" t="s">
        <v>41</v>
      </c>
      <c r="K91" s="16">
        <f t="shared" si="3"/>
        <v>67.587500000000006</v>
      </c>
    </row>
    <row r="92" spans="1:11" ht="20.149999999999999" customHeight="1">
      <c r="A92" s="3">
        <v>91</v>
      </c>
      <c r="B92" s="4" t="s">
        <v>126</v>
      </c>
      <c r="C92" s="4" t="s">
        <v>23</v>
      </c>
      <c r="D92" s="3">
        <f>VLOOKUP(C92,'sector-factor'!$B$2:$D$23,2,FALSE)</f>
        <v>0.3</v>
      </c>
      <c r="E92" s="3">
        <f>VLOOKUP(C92,'sector-factor'!$B$2:$D$23,3,FALSE)</f>
        <v>0.7</v>
      </c>
      <c r="F92" s="3" t="s">
        <v>14</v>
      </c>
      <c r="G92" s="3">
        <f t="shared" si="2"/>
        <v>50</v>
      </c>
      <c r="H92" s="4" t="s">
        <v>15</v>
      </c>
      <c r="I92" s="5">
        <v>75</v>
      </c>
      <c r="J92" s="6" t="s">
        <v>41</v>
      </c>
      <c r="K92" s="16">
        <f t="shared" si="3"/>
        <v>67.5</v>
      </c>
    </row>
    <row r="93" spans="1:11" ht="20.149999999999999" customHeight="1">
      <c r="A93" s="3">
        <v>92</v>
      </c>
      <c r="B93" s="4" t="s">
        <v>127</v>
      </c>
      <c r="C93" s="4" t="s">
        <v>23</v>
      </c>
      <c r="D93" s="3">
        <f>VLOOKUP(C93,'sector-factor'!$B$2:$D$23,2,FALSE)</f>
        <v>0.3</v>
      </c>
      <c r="E93" s="3">
        <f>VLOOKUP(C93,'sector-factor'!$B$2:$D$23,3,FALSE)</f>
        <v>0.7</v>
      </c>
      <c r="F93" s="3" t="s">
        <v>9</v>
      </c>
      <c r="G93" s="3">
        <f t="shared" si="2"/>
        <v>70</v>
      </c>
      <c r="H93" s="4" t="s">
        <v>10</v>
      </c>
      <c r="I93" s="5">
        <v>67.25</v>
      </c>
      <c r="J93" s="6" t="s">
        <v>11</v>
      </c>
      <c r="K93" s="16">
        <f t="shared" si="3"/>
        <v>68.074999999999989</v>
      </c>
    </row>
    <row r="94" spans="1:11" ht="20.149999999999999" customHeight="1">
      <c r="A94" s="3">
        <v>93</v>
      </c>
      <c r="B94" s="4" t="s">
        <v>128</v>
      </c>
      <c r="C94" s="4" t="s">
        <v>23</v>
      </c>
      <c r="D94" s="3">
        <f>VLOOKUP(C94,'sector-factor'!$B$2:$D$23,2,FALSE)</f>
        <v>0.3</v>
      </c>
      <c r="E94" s="3">
        <f>VLOOKUP(C94,'sector-factor'!$B$2:$D$23,3,FALSE)</f>
        <v>0.7</v>
      </c>
      <c r="F94" s="3" t="s">
        <v>14</v>
      </c>
      <c r="G94" s="3">
        <f t="shared" si="2"/>
        <v>50</v>
      </c>
      <c r="H94" s="4" t="s">
        <v>15</v>
      </c>
      <c r="I94" s="5">
        <v>77</v>
      </c>
      <c r="J94" s="6" t="s">
        <v>41</v>
      </c>
      <c r="K94" s="16">
        <f t="shared" si="3"/>
        <v>68.900000000000006</v>
      </c>
    </row>
    <row r="95" spans="1:11" ht="20.149999999999999" customHeight="1">
      <c r="A95" s="3">
        <v>94</v>
      </c>
      <c r="B95" s="4" t="s">
        <v>129</v>
      </c>
      <c r="C95" s="4" t="s">
        <v>23</v>
      </c>
      <c r="D95" s="3">
        <f>VLOOKUP(C95,'sector-factor'!$B$2:$D$23,2,FALSE)</f>
        <v>0.3</v>
      </c>
      <c r="E95" s="3">
        <f>VLOOKUP(C95,'sector-factor'!$B$2:$D$23,3,FALSE)</f>
        <v>0.7</v>
      </c>
      <c r="F95" s="3" t="s">
        <v>9</v>
      </c>
      <c r="G95" s="3">
        <f t="shared" si="2"/>
        <v>70</v>
      </c>
      <c r="H95" s="4" t="s">
        <v>10</v>
      </c>
      <c r="I95" s="5">
        <v>81.25</v>
      </c>
      <c r="J95" s="6" t="s">
        <v>41</v>
      </c>
      <c r="K95" s="16">
        <f t="shared" si="3"/>
        <v>77.875</v>
      </c>
    </row>
    <row r="96" spans="1:11" ht="20.149999999999999" customHeight="1">
      <c r="A96" s="3">
        <v>95</v>
      </c>
      <c r="B96" s="4" t="s">
        <v>130</v>
      </c>
      <c r="C96" s="4" t="s">
        <v>23</v>
      </c>
      <c r="D96" s="3">
        <f>VLOOKUP(C96,'sector-factor'!$B$2:$D$23,2,FALSE)</f>
        <v>0.3</v>
      </c>
      <c r="E96" s="3">
        <f>VLOOKUP(C96,'sector-factor'!$B$2:$D$23,3,FALSE)</f>
        <v>0.7</v>
      </c>
      <c r="F96" s="3" t="s">
        <v>9</v>
      </c>
      <c r="G96" s="3">
        <f t="shared" si="2"/>
        <v>70</v>
      </c>
      <c r="H96" s="4" t="s">
        <v>10</v>
      </c>
      <c r="I96" s="5">
        <v>76.5</v>
      </c>
      <c r="J96" s="6" t="s">
        <v>41</v>
      </c>
      <c r="K96" s="16">
        <f t="shared" si="3"/>
        <v>74.55</v>
      </c>
    </row>
    <row r="97" spans="1:11" ht="20.149999999999999" customHeight="1">
      <c r="A97" s="3">
        <v>96</v>
      </c>
      <c r="B97" s="4" t="s">
        <v>131</v>
      </c>
      <c r="C97" s="4" t="s">
        <v>23</v>
      </c>
      <c r="D97" s="3">
        <f>VLOOKUP(C97,'sector-factor'!$B$2:$D$23,2,FALSE)</f>
        <v>0.3</v>
      </c>
      <c r="E97" s="3">
        <f>VLOOKUP(C97,'sector-factor'!$B$2:$D$23,3,FALSE)</f>
        <v>0.7</v>
      </c>
      <c r="F97" s="3" t="s">
        <v>9</v>
      </c>
      <c r="G97" s="3">
        <f t="shared" si="2"/>
        <v>70</v>
      </c>
      <c r="H97" s="4" t="s">
        <v>10</v>
      </c>
      <c r="I97" s="5">
        <v>91.75</v>
      </c>
      <c r="J97" s="6" t="s">
        <v>41</v>
      </c>
      <c r="K97" s="16">
        <f t="shared" si="3"/>
        <v>85.224999999999994</v>
      </c>
    </row>
    <row r="98" spans="1:11" ht="20.149999999999999" customHeight="1">
      <c r="A98" s="3">
        <v>97</v>
      </c>
      <c r="B98" s="4" t="s">
        <v>132</v>
      </c>
      <c r="C98" s="4" t="s">
        <v>23</v>
      </c>
      <c r="D98" s="3">
        <f>VLOOKUP(C98,'sector-factor'!$B$2:$D$23,2,FALSE)</f>
        <v>0.3</v>
      </c>
      <c r="E98" s="3">
        <f>VLOOKUP(C98,'sector-factor'!$B$2:$D$23,3,FALSE)</f>
        <v>0.7</v>
      </c>
      <c r="F98" s="3" t="s">
        <v>19</v>
      </c>
      <c r="G98" s="3">
        <f t="shared" si="2"/>
        <v>30</v>
      </c>
      <c r="H98" s="4" t="s">
        <v>20</v>
      </c>
      <c r="I98" s="5">
        <v>63.249999999999993</v>
      </c>
      <c r="J98" s="6" t="s">
        <v>11</v>
      </c>
      <c r="K98" s="16">
        <f t="shared" si="3"/>
        <v>53.274999999999991</v>
      </c>
    </row>
    <row r="99" spans="1:11" ht="20.149999999999999" customHeight="1">
      <c r="A99" s="3">
        <v>98</v>
      </c>
      <c r="B99" s="4" t="s">
        <v>133</v>
      </c>
      <c r="C99" s="4" t="s">
        <v>23</v>
      </c>
      <c r="D99" s="3">
        <f>VLOOKUP(C99,'sector-factor'!$B$2:$D$23,2,FALSE)</f>
        <v>0.3</v>
      </c>
      <c r="E99" s="3">
        <f>VLOOKUP(C99,'sector-factor'!$B$2:$D$23,3,FALSE)</f>
        <v>0.7</v>
      </c>
      <c r="F99" s="3" t="s">
        <v>39</v>
      </c>
      <c r="G99" s="3">
        <f t="shared" si="2"/>
        <v>90</v>
      </c>
      <c r="H99" s="4" t="s">
        <v>40</v>
      </c>
      <c r="I99" s="5">
        <v>90.25</v>
      </c>
      <c r="J99" s="6" t="s">
        <v>41</v>
      </c>
      <c r="K99" s="16">
        <f t="shared" si="3"/>
        <v>90.174999999999997</v>
      </c>
    </row>
    <row r="100" spans="1:11" ht="20.149999999999999" customHeight="1">
      <c r="A100" s="3">
        <v>99</v>
      </c>
      <c r="B100" s="4" t="s">
        <v>134</v>
      </c>
      <c r="C100" s="4" t="s">
        <v>65</v>
      </c>
      <c r="D100" s="3">
        <f>VLOOKUP(C100,'sector-factor'!$B$2:$D$23,2,FALSE)</f>
        <v>0.35</v>
      </c>
      <c r="E100" s="3">
        <f>VLOOKUP(C100,'sector-factor'!$B$2:$D$23,3,FALSE)</f>
        <v>0.65</v>
      </c>
      <c r="F100" s="3" t="s">
        <v>19</v>
      </c>
      <c r="G100" s="3">
        <f t="shared" si="2"/>
        <v>30</v>
      </c>
      <c r="H100" s="4" t="s">
        <v>20</v>
      </c>
      <c r="I100" s="5">
        <v>78.25</v>
      </c>
      <c r="J100" s="6" t="s">
        <v>41</v>
      </c>
      <c r="K100" s="16">
        <f t="shared" si="3"/>
        <v>61.362500000000004</v>
      </c>
    </row>
    <row r="101" spans="1:11" ht="20.149999999999999" customHeight="1">
      <c r="A101" s="3">
        <v>100</v>
      </c>
      <c r="B101" s="4" t="s">
        <v>135</v>
      </c>
      <c r="C101" s="4" t="s">
        <v>26</v>
      </c>
      <c r="D101" s="3">
        <f>VLOOKUP(C101,'sector-factor'!$B$2:$D$23,2,FALSE)</f>
        <v>0.3</v>
      </c>
      <c r="E101" s="3">
        <f>VLOOKUP(C101,'sector-factor'!$B$2:$D$23,3,FALSE)</f>
        <v>0.7</v>
      </c>
      <c r="F101" s="3" t="s">
        <v>39</v>
      </c>
      <c r="G101" s="3">
        <f t="shared" si="2"/>
        <v>90</v>
      </c>
      <c r="H101" s="4" t="s">
        <v>40</v>
      </c>
      <c r="I101" s="5">
        <v>88.5</v>
      </c>
      <c r="J101" s="6" t="s">
        <v>41</v>
      </c>
      <c r="K101" s="16">
        <f t="shared" si="3"/>
        <v>88.949999999999989</v>
      </c>
    </row>
    <row r="102" spans="1:11" ht="20.149999999999999" customHeight="1">
      <c r="A102" s="3">
        <v>101</v>
      </c>
      <c r="B102" s="4" t="s">
        <v>136</v>
      </c>
      <c r="C102" s="4" t="s">
        <v>26</v>
      </c>
      <c r="D102" s="3">
        <f>VLOOKUP(C102,'sector-factor'!$B$2:$D$23,2,FALSE)</f>
        <v>0.3</v>
      </c>
      <c r="E102" s="3">
        <f>VLOOKUP(C102,'sector-factor'!$B$2:$D$23,3,FALSE)</f>
        <v>0.7</v>
      </c>
      <c r="F102" s="3" t="s">
        <v>9</v>
      </c>
      <c r="G102" s="3">
        <f t="shared" si="2"/>
        <v>70</v>
      </c>
      <c r="H102" s="4" t="s">
        <v>10</v>
      </c>
      <c r="I102" s="5">
        <v>84.5</v>
      </c>
      <c r="J102" s="6" t="s">
        <v>41</v>
      </c>
      <c r="K102" s="16">
        <f t="shared" si="3"/>
        <v>80.150000000000006</v>
      </c>
    </row>
    <row r="103" spans="1:11" ht="20.149999999999999" customHeight="1">
      <c r="A103" s="3">
        <v>102</v>
      </c>
      <c r="B103" s="4" t="s">
        <v>137</v>
      </c>
      <c r="C103" s="4" t="s">
        <v>26</v>
      </c>
      <c r="D103" s="3">
        <f>VLOOKUP(C103,'sector-factor'!$B$2:$D$23,2,FALSE)</f>
        <v>0.3</v>
      </c>
      <c r="E103" s="3">
        <f>VLOOKUP(C103,'sector-factor'!$B$2:$D$23,3,FALSE)</f>
        <v>0.7</v>
      </c>
      <c r="F103" s="3" t="s">
        <v>19</v>
      </c>
      <c r="G103" s="3">
        <f t="shared" si="2"/>
        <v>30</v>
      </c>
      <c r="H103" s="4" t="s">
        <v>20</v>
      </c>
      <c r="I103" s="5">
        <v>70.5</v>
      </c>
      <c r="J103" s="6" t="s">
        <v>11</v>
      </c>
      <c r="K103" s="16">
        <f t="shared" si="3"/>
        <v>58.349999999999994</v>
      </c>
    </row>
    <row r="104" spans="1:11" ht="20.149999999999999" customHeight="1">
      <c r="A104" s="3">
        <v>103</v>
      </c>
      <c r="B104" s="4" t="s">
        <v>138</v>
      </c>
      <c r="C104" s="4" t="s">
        <v>26</v>
      </c>
      <c r="D104" s="3">
        <f>VLOOKUP(C104,'sector-factor'!$B$2:$D$23,2,FALSE)</f>
        <v>0.3</v>
      </c>
      <c r="E104" s="3">
        <f>VLOOKUP(C104,'sector-factor'!$B$2:$D$23,3,FALSE)</f>
        <v>0.7</v>
      </c>
      <c r="F104" s="3" t="s">
        <v>39</v>
      </c>
      <c r="G104" s="3">
        <f t="shared" si="2"/>
        <v>90</v>
      </c>
      <c r="H104" s="4" t="s">
        <v>40</v>
      </c>
      <c r="I104" s="5">
        <v>86</v>
      </c>
      <c r="J104" s="6" t="s">
        <v>41</v>
      </c>
      <c r="K104" s="16">
        <f t="shared" si="3"/>
        <v>87.199999999999989</v>
      </c>
    </row>
    <row r="105" spans="1:11" ht="20.149999999999999" customHeight="1">
      <c r="A105" s="3">
        <v>104</v>
      </c>
      <c r="B105" s="4" t="s">
        <v>139</v>
      </c>
      <c r="C105" s="4" t="s">
        <v>29</v>
      </c>
      <c r="D105" s="3">
        <f>VLOOKUP(C105,'sector-factor'!$B$2:$D$23,2,FALSE)</f>
        <v>0.65</v>
      </c>
      <c r="E105" s="3">
        <f>VLOOKUP(C105,'sector-factor'!$B$2:$D$23,3,FALSE)</f>
        <v>0.35</v>
      </c>
      <c r="F105" s="3" t="s">
        <v>19</v>
      </c>
      <c r="G105" s="3">
        <f t="shared" si="2"/>
        <v>30</v>
      </c>
      <c r="H105" s="4" t="s">
        <v>20</v>
      </c>
      <c r="I105" s="5">
        <v>53.75</v>
      </c>
      <c r="J105" s="6" t="s">
        <v>50</v>
      </c>
      <c r="K105" s="16">
        <f t="shared" si="3"/>
        <v>38.3125</v>
      </c>
    </row>
    <row r="106" spans="1:11" ht="20.149999999999999" customHeight="1">
      <c r="A106" s="3">
        <v>105</v>
      </c>
      <c r="B106" s="4" t="s">
        <v>140</v>
      </c>
      <c r="C106" s="4" t="s">
        <v>26</v>
      </c>
      <c r="D106" s="3">
        <f>VLOOKUP(C106,'sector-factor'!$B$2:$D$23,2,FALSE)</f>
        <v>0.3</v>
      </c>
      <c r="E106" s="3">
        <f>VLOOKUP(C106,'sector-factor'!$B$2:$D$23,3,FALSE)</f>
        <v>0.7</v>
      </c>
      <c r="F106" s="3" t="s">
        <v>9</v>
      </c>
      <c r="G106" s="3">
        <f t="shared" si="2"/>
        <v>70</v>
      </c>
      <c r="H106" s="4" t="s">
        <v>10</v>
      </c>
      <c r="I106" s="5">
        <v>85.75</v>
      </c>
      <c r="J106" s="6" t="s">
        <v>41</v>
      </c>
      <c r="K106" s="16">
        <f t="shared" si="3"/>
        <v>81.025000000000006</v>
      </c>
    </row>
    <row r="107" spans="1:11" ht="20.149999999999999" customHeight="1">
      <c r="A107" s="3">
        <v>106</v>
      </c>
      <c r="B107" s="4" t="s">
        <v>141</v>
      </c>
      <c r="C107" s="4" t="s">
        <v>26</v>
      </c>
      <c r="D107" s="3">
        <f>VLOOKUP(C107,'sector-factor'!$B$2:$D$23,2,FALSE)</f>
        <v>0.3</v>
      </c>
      <c r="E107" s="3">
        <f>VLOOKUP(C107,'sector-factor'!$B$2:$D$23,3,FALSE)</f>
        <v>0.7</v>
      </c>
      <c r="F107" s="3" t="s">
        <v>9</v>
      </c>
      <c r="G107" s="3">
        <f t="shared" si="2"/>
        <v>70</v>
      </c>
      <c r="H107" s="4" t="s">
        <v>10</v>
      </c>
      <c r="I107" s="5">
        <v>86.5</v>
      </c>
      <c r="J107" s="6" t="s">
        <v>41</v>
      </c>
      <c r="K107" s="16">
        <f t="shared" si="3"/>
        <v>81.55</v>
      </c>
    </row>
    <row r="108" spans="1:11" ht="20.149999999999999" customHeight="1">
      <c r="A108" s="3">
        <v>107</v>
      </c>
      <c r="B108" s="4" t="s">
        <v>142</v>
      </c>
      <c r="C108" s="4" t="s">
        <v>65</v>
      </c>
      <c r="D108" s="3">
        <f>VLOOKUP(C108,'sector-factor'!$B$2:$D$23,2,FALSE)</f>
        <v>0.35</v>
      </c>
      <c r="E108" s="3">
        <f>VLOOKUP(C108,'sector-factor'!$B$2:$D$23,3,FALSE)</f>
        <v>0.65</v>
      </c>
      <c r="F108" s="3" t="s">
        <v>9</v>
      </c>
      <c r="G108" s="3">
        <f t="shared" si="2"/>
        <v>70</v>
      </c>
      <c r="H108" s="4" t="s">
        <v>10</v>
      </c>
      <c r="I108" s="5">
        <v>75.25</v>
      </c>
      <c r="J108" s="6" t="s">
        <v>41</v>
      </c>
      <c r="K108" s="16">
        <f t="shared" si="3"/>
        <v>73.412499999999994</v>
      </c>
    </row>
    <row r="109" spans="1:11" ht="20.149999999999999" customHeight="1">
      <c r="A109" s="3">
        <v>108</v>
      </c>
      <c r="B109" s="4" t="s">
        <v>143</v>
      </c>
      <c r="C109" s="4" t="s">
        <v>26</v>
      </c>
      <c r="D109" s="3">
        <f>VLOOKUP(C109,'sector-factor'!$B$2:$D$23,2,FALSE)</f>
        <v>0.3</v>
      </c>
      <c r="E109" s="3">
        <f>VLOOKUP(C109,'sector-factor'!$B$2:$D$23,3,FALSE)</f>
        <v>0.7</v>
      </c>
      <c r="F109" s="3" t="s">
        <v>9</v>
      </c>
      <c r="G109" s="3">
        <f t="shared" si="2"/>
        <v>70</v>
      </c>
      <c r="H109" s="4" t="s">
        <v>10</v>
      </c>
      <c r="I109" s="5">
        <v>92.5</v>
      </c>
      <c r="J109" s="6" t="s">
        <v>41</v>
      </c>
      <c r="K109" s="16">
        <f t="shared" si="3"/>
        <v>85.75</v>
      </c>
    </row>
    <row r="110" spans="1:11" ht="20.149999999999999" customHeight="1">
      <c r="A110" s="3">
        <v>109</v>
      </c>
      <c r="B110" s="4" t="s">
        <v>144</v>
      </c>
      <c r="C110" s="4" t="s">
        <v>26</v>
      </c>
      <c r="D110" s="3">
        <f>VLOOKUP(C110,'sector-factor'!$B$2:$D$23,2,FALSE)</f>
        <v>0.3</v>
      </c>
      <c r="E110" s="3">
        <f>VLOOKUP(C110,'sector-factor'!$B$2:$D$23,3,FALSE)</f>
        <v>0.7</v>
      </c>
      <c r="F110" s="3" t="s">
        <v>14</v>
      </c>
      <c r="G110" s="3">
        <f t="shared" si="2"/>
        <v>50</v>
      </c>
      <c r="H110" s="4" t="s">
        <v>15</v>
      </c>
      <c r="I110" s="5">
        <v>73</v>
      </c>
      <c r="J110" s="6" t="s">
        <v>11</v>
      </c>
      <c r="K110" s="16">
        <f t="shared" si="3"/>
        <v>66.099999999999994</v>
      </c>
    </row>
    <row r="111" spans="1:11" ht="20.149999999999999" customHeight="1">
      <c r="A111" s="3">
        <v>110</v>
      </c>
      <c r="B111" s="4" t="s">
        <v>145</v>
      </c>
      <c r="C111" s="4" t="s">
        <v>26</v>
      </c>
      <c r="D111" s="3">
        <f>VLOOKUP(C111,'sector-factor'!$B$2:$D$23,2,FALSE)</f>
        <v>0.3</v>
      </c>
      <c r="E111" s="3">
        <f>VLOOKUP(C111,'sector-factor'!$B$2:$D$23,3,FALSE)</f>
        <v>0.7</v>
      </c>
      <c r="F111" s="3" t="s">
        <v>9</v>
      </c>
      <c r="G111" s="3">
        <f t="shared" si="2"/>
        <v>70</v>
      </c>
      <c r="H111" s="4" t="s">
        <v>10</v>
      </c>
      <c r="I111" s="5">
        <v>84</v>
      </c>
      <c r="J111" s="6" t="s">
        <v>41</v>
      </c>
      <c r="K111" s="16">
        <f t="shared" si="3"/>
        <v>79.8</v>
      </c>
    </row>
    <row r="112" spans="1:11" ht="20.149999999999999" customHeight="1">
      <c r="A112" s="3">
        <v>111</v>
      </c>
      <c r="B112" s="4" t="s">
        <v>146</v>
      </c>
      <c r="C112" s="4" t="s">
        <v>45</v>
      </c>
      <c r="D112" s="3">
        <f>VLOOKUP(C112,'sector-factor'!$B$2:$D$23,2,FALSE)</f>
        <v>0.65</v>
      </c>
      <c r="E112" s="3">
        <f>VLOOKUP(C112,'sector-factor'!$B$2:$D$23,3,FALSE)</f>
        <v>0.35</v>
      </c>
      <c r="F112" s="3" t="s">
        <v>14</v>
      </c>
      <c r="G112" s="3">
        <f t="shared" si="2"/>
        <v>50</v>
      </c>
      <c r="H112" s="4" t="s">
        <v>15</v>
      </c>
      <c r="I112" s="5">
        <v>65.25</v>
      </c>
      <c r="J112" s="6" t="s">
        <v>11</v>
      </c>
      <c r="K112" s="16">
        <f t="shared" si="3"/>
        <v>55.337499999999999</v>
      </c>
    </row>
    <row r="113" spans="1:11" ht="20.149999999999999" customHeight="1">
      <c r="A113" s="3">
        <v>112</v>
      </c>
      <c r="B113" s="4" t="s">
        <v>147</v>
      </c>
      <c r="C113" s="4" t="s">
        <v>23</v>
      </c>
      <c r="D113" s="3">
        <f>VLOOKUP(C113,'sector-factor'!$B$2:$D$23,2,FALSE)</f>
        <v>0.3</v>
      </c>
      <c r="E113" s="3">
        <f>VLOOKUP(C113,'sector-factor'!$B$2:$D$23,3,FALSE)</f>
        <v>0.7</v>
      </c>
      <c r="F113" s="3" t="s">
        <v>9</v>
      </c>
      <c r="G113" s="3">
        <f t="shared" si="2"/>
        <v>70</v>
      </c>
      <c r="H113" s="4" t="s">
        <v>10</v>
      </c>
      <c r="I113" s="5">
        <v>74.5</v>
      </c>
      <c r="J113" s="6" t="s">
        <v>11</v>
      </c>
      <c r="K113" s="16">
        <f t="shared" si="3"/>
        <v>73.150000000000006</v>
      </c>
    </row>
    <row r="114" spans="1:11" ht="20.149999999999999" customHeight="1">
      <c r="A114" s="3">
        <v>113</v>
      </c>
      <c r="B114" s="4" t="s">
        <v>148</v>
      </c>
      <c r="C114" s="4" t="s">
        <v>26</v>
      </c>
      <c r="D114" s="3">
        <f>VLOOKUP(C114,'sector-factor'!$B$2:$D$23,2,FALSE)</f>
        <v>0.3</v>
      </c>
      <c r="E114" s="3">
        <f>VLOOKUP(C114,'sector-factor'!$B$2:$D$23,3,FALSE)</f>
        <v>0.7</v>
      </c>
      <c r="F114" s="3" t="s">
        <v>9</v>
      </c>
      <c r="G114" s="3">
        <f t="shared" si="2"/>
        <v>70</v>
      </c>
      <c r="H114" s="4" t="s">
        <v>10</v>
      </c>
      <c r="I114" s="5">
        <v>75.25</v>
      </c>
      <c r="J114" s="6" t="s">
        <v>41</v>
      </c>
      <c r="K114" s="16">
        <f t="shared" si="3"/>
        <v>73.674999999999997</v>
      </c>
    </row>
    <row r="115" spans="1:11" ht="20.149999999999999" customHeight="1">
      <c r="A115" s="3">
        <v>114</v>
      </c>
      <c r="B115" s="4" t="s">
        <v>149</v>
      </c>
      <c r="C115" s="4" t="s">
        <v>26</v>
      </c>
      <c r="D115" s="3">
        <f>VLOOKUP(C115,'sector-factor'!$B$2:$D$23,2,FALSE)</f>
        <v>0.3</v>
      </c>
      <c r="E115" s="3">
        <f>VLOOKUP(C115,'sector-factor'!$B$2:$D$23,3,FALSE)</f>
        <v>0.7</v>
      </c>
      <c r="F115" s="3" t="s">
        <v>14</v>
      </c>
      <c r="G115" s="3">
        <f t="shared" si="2"/>
        <v>50</v>
      </c>
      <c r="H115" s="4" t="s">
        <v>15</v>
      </c>
      <c r="I115" s="5">
        <v>63.875000000000007</v>
      </c>
      <c r="J115" s="6" t="s">
        <v>11</v>
      </c>
      <c r="K115" s="16">
        <f t="shared" si="3"/>
        <v>59.712500000000006</v>
      </c>
    </row>
    <row r="116" spans="1:11" ht="20.149999999999999" customHeight="1">
      <c r="A116" s="3">
        <v>115</v>
      </c>
      <c r="B116" s="4" t="s">
        <v>150</v>
      </c>
      <c r="C116" s="4" t="s">
        <v>26</v>
      </c>
      <c r="D116" s="3">
        <f>VLOOKUP(C116,'sector-factor'!$B$2:$D$23,2,FALSE)</f>
        <v>0.3</v>
      </c>
      <c r="E116" s="3">
        <f>VLOOKUP(C116,'sector-factor'!$B$2:$D$23,3,FALSE)</f>
        <v>0.7</v>
      </c>
      <c r="F116" s="3" t="s">
        <v>9</v>
      </c>
      <c r="G116" s="3">
        <f t="shared" si="2"/>
        <v>70</v>
      </c>
      <c r="H116" s="4" t="s">
        <v>10</v>
      </c>
      <c r="I116" s="5">
        <v>78.125</v>
      </c>
      <c r="J116" s="6" t="s">
        <v>41</v>
      </c>
      <c r="K116" s="16">
        <f t="shared" si="3"/>
        <v>75.6875</v>
      </c>
    </row>
    <row r="117" spans="1:11" ht="20.149999999999999" customHeight="1">
      <c r="A117" s="3">
        <v>116</v>
      </c>
      <c r="B117" s="4" t="s">
        <v>151</v>
      </c>
      <c r="C117" s="4" t="s">
        <v>26</v>
      </c>
      <c r="D117" s="3">
        <f>VLOOKUP(C117,'sector-factor'!$B$2:$D$23,2,FALSE)</f>
        <v>0.3</v>
      </c>
      <c r="E117" s="3">
        <f>VLOOKUP(C117,'sector-factor'!$B$2:$D$23,3,FALSE)</f>
        <v>0.7</v>
      </c>
      <c r="F117" s="3" t="s">
        <v>14</v>
      </c>
      <c r="G117" s="3">
        <f t="shared" si="2"/>
        <v>50</v>
      </c>
      <c r="H117" s="4" t="s">
        <v>15</v>
      </c>
      <c r="I117" s="5">
        <v>78.875</v>
      </c>
      <c r="J117" s="6" t="s">
        <v>41</v>
      </c>
      <c r="K117" s="16">
        <f t="shared" si="3"/>
        <v>70.212500000000006</v>
      </c>
    </row>
    <row r="118" spans="1:11" ht="20.149999999999999" customHeight="1">
      <c r="A118" s="3">
        <v>117</v>
      </c>
      <c r="B118" s="4" t="s">
        <v>152</v>
      </c>
      <c r="C118" s="4" t="s">
        <v>26</v>
      </c>
      <c r="D118" s="3">
        <f>VLOOKUP(C118,'sector-factor'!$B$2:$D$23,2,FALSE)</f>
        <v>0.3</v>
      </c>
      <c r="E118" s="3">
        <f>VLOOKUP(C118,'sector-factor'!$B$2:$D$23,3,FALSE)</f>
        <v>0.7</v>
      </c>
      <c r="F118" s="3" t="s">
        <v>19</v>
      </c>
      <c r="G118" s="3">
        <f t="shared" si="2"/>
        <v>30</v>
      </c>
      <c r="H118" s="4" t="s">
        <v>20</v>
      </c>
      <c r="I118" s="5">
        <v>75.625</v>
      </c>
      <c r="J118" s="6" t="s">
        <v>41</v>
      </c>
      <c r="K118" s="16">
        <f t="shared" si="3"/>
        <v>61.9375</v>
      </c>
    </row>
    <row r="119" spans="1:11" ht="20.149999999999999" customHeight="1">
      <c r="A119" s="3">
        <v>118</v>
      </c>
      <c r="B119" s="4" t="s">
        <v>153</v>
      </c>
      <c r="C119" s="4" t="s">
        <v>26</v>
      </c>
      <c r="D119" s="3">
        <f>VLOOKUP(C119,'sector-factor'!$B$2:$D$23,2,FALSE)</f>
        <v>0.3</v>
      </c>
      <c r="E119" s="3">
        <f>VLOOKUP(C119,'sector-factor'!$B$2:$D$23,3,FALSE)</f>
        <v>0.7</v>
      </c>
      <c r="F119" s="3" t="s">
        <v>9</v>
      </c>
      <c r="G119" s="3">
        <f t="shared" si="2"/>
        <v>70</v>
      </c>
      <c r="H119" s="4" t="s">
        <v>10</v>
      </c>
      <c r="I119" s="5">
        <v>75.125</v>
      </c>
      <c r="J119" s="6" t="s">
        <v>41</v>
      </c>
      <c r="K119" s="16">
        <f t="shared" si="3"/>
        <v>73.587500000000006</v>
      </c>
    </row>
    <row r="120" spans="1:11" ht="20.149999999999999" customHeight="1">
      <c r="A120" s="3">
        <v>119</v>
      </c>
      <c r="B120" s="4" t="s">
        <v>154</v>
      </c>
      <c r="C120" s="4" t="s">
        <v>26</v>
      </c>
      <c r="D120" s="3">
        <f>VLOOKUP(C120,'sector-factor'!$B$2:$D$23,2,FALSE)</f>
        <v>0.3</v>
      </c>
      <c r="E120" s="3">
        <f>VLOOKUP(C120,'sector-factor'!$B$2:$D$23,3,FALSE)</f>
        <v>0.7</v>
      </c>
      <c r="F120" s="3" t="s">
        <v>9</v>
      </c>
      <c r="G120" s="3">
        <f t="shared" si="2"/>
        <v>70</v>
      </c>
      <c r="H120" s="4" t="s">
        <v>10</v>
      </c>
      <c r="I120" s="5">
        <v>75.75</v>
      </c>
      <c r="J120" s="6" t="s">
        <v>41</v>
      </c>
      <c r="K120" s="16">
        <f t="shared" si="3"/>
        <v>74.025000000000006</v>
      </c>
    </row>
    <row r="121" spans="1:11" ht="20.149999999999999" customHeight="1">
      <c r="A121" s="3">
        <v>120</v>
      </c>
      <c r="B121" s="4" t="s">
        <v>155</v>
      </c>
      <c r="C121" s="4" t="s">
        <v>26</v>
      </c>
      <c r="D121" s="3">
        <f>VLOOKUP(C121,'sector-factor'!$B$2:$D$23,2,FALSE)</f>
        <v>0.3</v>
      </c>
      <c r="E121" s="3">
        <f>VLOOKUP(C121,'sector-factor'!$B$2:$D$23,3,FALSE)</f>
        <v>0.7</v>
      </c>
      <c r="F121" s="3" t="s">
        <v>9</v>
      </c>
      <c r="G121" s="3">
        <f t="shared" si="2"/>
        <v>70</v>
      </c>
      <c r="H121" s="4" t="s">
        <v>10</v>
      </c>
      <c r="I121" s="5">
        <v>77</v>
      </c>
      <c r="J121" s="6" t="s">
        <v>41</v>
      </c>
      <c r="K121" s="16">
        <f t="shared" si="3"/>
        <v>74.900000000000006</v>
      </c>
    </row>
    <row r="122" spans="1:11" ht="20.149999999999999" customHeight="1">
      <c r="A122" s="3">
        <v>121</v>
      </c>
      <c r="B122" s="4" t="s">
        <v>156</v>
      </c>
      <c r="C122" s="4" t="s">
        <v>8</v>
      </c>
      <c r="D122" s="3">
        <f>VLOOKUP(C122,'sector-factor'!$B$2:$D$23,2,FALSE)</f>
        <v>0.6</v>
      </c>
      <c r="E122" s="3">
        <f>VLOOKUP(C122,'sector-factor'!$B$2:$D$23,3,FALSE)</f>
        <v>0.4</v>
      </c>
      <c r="F122" s="3" t="s">
        <v>39</v>
      </c>
      <c r="G122" s="3">
        <f t="shared" si="2"/>
        <v>90</v>
      </c>
      <c r="H122" s="4" t="s">
        <v>40</v>
      </c>
      <c r="I122" s="5">
        <v>92</v>
      </c>
      <c r="J122" s="6" t="s">
        <v>41</v>
      </c>
      <c r="K122" s="16">
        <f t="shared" si="3"/>
        <v>90.800000000000011</v>
      </c>
    </row>
    <row r="123" spans="1:11" ht="20.149999999999999" customHeight="1">
      <c r="A123" s="3">
        <v>122</v>
      </c>
      <c r="B123" s="4" t="s">
        <v>157</v>
      </c>
      <c r="C123" s="4" t="s">
        <v>158</v>
      </c>
      <c r="D123" s="3">
        <f>VLOOKUP(C123,'sector-factor'!$B$2:$D$23,2,FALSE)</f>
        <v>0.55000000000000004</v>
      </c>
      <c r="E123" s="3">
        <f>VLOOKUP(C123,'sector-factor'!$B$2:$D$23,3,FALSE)</f>
        <v>0.45</v>
      </c>
      <c r="F123" s="3" t="s">
        <v>19</v>
      </c>
      <c r="G123" s="3">
        <f t="shared" si="2"/>
        <v>30</v>
      </c>
      <c r="H123" s="4" t="s">
        <v>20</v>
      </c>
      <c r="I123" s="5">
        <v>60.25</v>
      </c>
      <c r="J123" s="6" t="s">
        <v>11</v>
      </c>
      <c r="K123" s="16">
        <f t="shared" si="3"/>
        <v>43.612499999999997</v>
      </c>
    </row>
    <row r="124" spans="1:11" ht="20.149999999999999" customHeight="1">
      <c r="A124" s="3">
        <v>123</v>
      </c>
      <c r="B124" s="4" t="s">
        <v>159</v>
      </c>
      <c r="C124" s="4" t="s">
        <v>112</v>
      </c>
      <c r="D124" s="3">
        <f>VLOOKUP(C124,'sector-factor'!$B$2:$D$23,2,FALSE)</f>
        <v>0.55000000000000004</v>
      </c>
      <c r="E124" s="3">
        <f>VLOOKUP(C124,'sector-factor'!$B$2:$D$23,3,FALSE)</f>
        <v>0.45</v>
      </c>
      <c r="F124" s="3" t="s">
        <v>14</v>
      </c>
      <c r="G124" s="3">
        <f t="shared" si="2"/>
        <v>50</v>
      </c>
      <c r="H124" s="4" t="s">
        <v>15</v>
      </c>
      <c r="I124" s="5">
        <v>70.125</v>
      </c>
      <c r="J124" s="6" t="s">
        <v>11</v>
      </c>
      <c r="K124" s="16">
        <f t="shared" si="3"/>
        <v>59.056250000000006</v>
      </c>
    </row>
    <row r="125" spans="1:11" ht="20.149999999999999" customHeight="1">
      <c r="A125" s="3">
        <v>124</v>
      </c>
      <c r="B125" s="4" t="s">
        <v>160</v>
      </c>
      <c r="C125" s="4" t="s">
        <v>29</v>
      </c>
      <c r="D125" s="3">
        <f>VLOOKUP(C125,'sector-factor'!$B$2:$D$23,2,FALSE)</f>
        <v>0.65</v>
      </c>
      <c r="E125" s="3">
        <f>VLOOKUP(C125,'sector-factor'!$B$2:$D$23,3,FALSE)</f>
        <v>0.35</v>
      </c>
      <c r="F125" s="3" t="s">
        <v>14</v>
      </c>
      <c r="G125" s="3">
        <f t="shared" si="2"/>
        <v>50</v>
      </c>
      <c r="H125" s="4" t="s">
        <v>15</v>
      </c>
      <c r="I125" s="5">
        <v>65.5</v>
      </c>
      <c r="J125" s="6" t="s">
        <v>11</v>
      </c>
      <c r="K125" s="16">
        <f t="shared" si="3"/>
        <v>55.424999999999997</v>
      </c>
    </row>
    <row r="126" spans="1:11" ht="20.149999999999999" customHeight="1">
      <c r="A126" s="3">
        <v>125</v>
      </c>
      <c r="B126" s="4" t="s">
        <v>161</v>
      </c>
      <c r="C126" s="4" t="s">
        <v>43</v>
      </c>
      <c r="D126" s="3">
        <f>VLOOKUP(C126,'sector-factor'!$B$2:$D$23,2,FALSE)</f>
        <v>0.75</v>
      </c>
      <c r="E126" s="3">
        <f>VLOOKUP(C126,'sector-factor'!$B$2:$D$23,3,FALSE)</f>
        <v>0.25</v>
      </c>
      <c r="F126" s="3" t="s">
        <v>14</v>
      </c>
      <c r="G126" s="3">
        <f t="shared" si="2"/>
        <v>50</v>
      </c>
      <c r="H126" s="4" t="s">
        <v>15</v>
      </c>
      <c r="I126" s="5">
        <v>67.625</v>
      </c>
      <c r="J126" s="6" t="s">
        <v>11</v>
      </c>
      <c r="K126" s="16">
        <f t="shared" si="3"/>
        <v>54.40625</v>
      </c>
    </row>
    <row r="127" spans="1:11" ht="20.149999999999999" customHeight="1">
      <c r="A127" s="3">
        <v>126</v>
      </c>
      <c r="B127" s="4" t="s">
        <v>162</v>
      </c>
      <c r="C127" s="4" t="s">
        <v>13</v>
      </c>
      <c r="D127" s="3">
        <f>VLOOKUP(C127,'sector-factor'!$B$2:$D$23,2,FALSE)</f>
        <v>0.6</v>
      </c>
      <c r="E127" s="3">
        <f>VLOOKUP(C127,'sector-factor'!$B$2:$D$23,3,FALSE)</f>
        <v>0.4</v>
      </c>
      <c r="F127" s="3" t="s">
        <v>19</v>
      </c>
      <c r="G127" s="3">
        <f t="shared" si="2"/>
        <v>30</v>
      </c>
      <c r="H127" s="4" t="s">
        <v>20</v>
      </c>
      <c r="I127" s="5">
        <v>63.875000000000007</v>
      </c>
      <c r="J127" s="6" t="s">
        <v>11</v>
      </c>
      <c r="K127" s="16">
        <f t="shared" si="3"/>
        <v>43.550000000000004</v>
      </c>
    </row>
    <row r="128" spans="1:11" ht="20.149999999999999" customHeight="1">
      <c r="A128" s="3">
        <v>127</v>
      </c>
      <c r="B128" s="4" t="s">
        <v>163</v>
      </c>
      <c r="C128" s="4" t="s">
        <v>13</v>
      </c>
      <c r="D128" s="3">
        <f>VLOOKUP(C128,'sector-factor'!$B$2:$D$23,2,FALSE)</f>
        <v>0.6</v>
      </c>
      <c r="E128" s="3">
        <f>VLOOKUP(C128,'sector-factor'!$B$2:$D$23,3,FALSE)</f>
        <v>0.4</v>
      </c>
      <c r="F128" s="3" t="s">
        <v>14</v>
      </c>
      <c r="G128" s="3">
        <f t="shared" si="2"/>
        <v>50</v>
      </c>
      <c r="H128" s="4" t="s">
        <v>15</v>
      </c>
      <c r="I128" s="5">
        <v>50.249999999999993</v>
      </c>
      <c r="J128" s="6" t="s">
        <v>50</v>
      </c>
      <c r="K128" s="16">
        <f t="shared" si="3"/>
        <v>50.099999999999994</v>
      </c>
    </row>
    <row r="129" spans="1:11" ht="20.149999999999999" customHeight="1">
      <c r="A129" s="3">
        <v>128</v>
      </c>
      <c r="B129" s="4" t="s">
        <v>164</v>
      </c>
      <c r="C129" s="4" t="s">
        <v>37</v>
      </c>
      <c r="D129" s="3">
        <f>VLOOKUP(C129,'sector-factor'!$B$2:$D$23,2,FALSE)</f>
        <v>0.7</v>
      </c>
      <c r="E129" s="3">
        <f>VLOOKUP(C129,'sector-factor'!$B$2:$D$23,3,FALSE)</f>
        <v>0.3</v>
      </c>
      <c r="F129" s="3" t="s">
        <v>19</v>
      </c>
      <c r="G129" s="3">
        <f t="shared" si="2"/>
        <v>30</v>
      </c>
      <c r="H129" s="4" t="s">
        <v>20</v>
      </c>
      <c r="I129" s="5">
        <v>70.5</v>
      </c>
      <c r="J129" s="6" t="s">
        <v>11</v>
      </c>
      <c r="K129" s="16">
        <f t="shared" si="3"/>
        <v>42.15</v>
      </c>
    </row>
    <row r="130" spans="1:11" ht="20.149999999999999" customHeight="1">
      <c r="A130" s="3">
        <v>129</v>
      </c>
      <c r="B130" s="4" t="s">
        <v>165</v>
      </c>
      <c r="C130" s="4" t="s">
        <v>29</v>
      </c>
      <c r="D130" s="3">
        <f>VLOOKUP(C130,'sector-factor'!$B$2:$D$23,2,FALSE)</f>
        <v>0.65</v>
      </c>
      <c r="E130" s="3">
        <f>VLOOKUP(C130,'sector-factor'!$B$2:$D$23,3,FALSE)</f>
        <v>0.35</v>
      </c>
      <c r="F130" s="3" t="s">
        <v>19</v>
      </c>
      <c r="G130" s="3">
        <f t="shared" si="2"/>
        <v>30</v>
      </c>
      <c r="H130" s="4" t="s">
        <v>20</v>
      </c>
      <c r="I130" s="5">
        <v>39.875</v>
      </c>
      <c r="J130" s="6" t="s">
        <v>50</v>
      </c>
      <c r="K130" s="16">
        <f t="shared" si="3"/>
        <v>33.456249999999997</v>
      </c>
    </row>
    <row r="131" spans="1:11" ht="20.149999999999999" customHeight="1">
      <c r="A131" s="3">
        <v>130</v>
      </c>
      <c r="B131" s="4" t="s">
        <v>166</v>
      </c>
      <c r="C131" s="4" t="s">
        <v>45</v>
      </c>
      <c r="D131" s="3">
        <f>VLOOKUP(C131,'sector-factor'!$B$2:$D$23,2,FALSE)</f>
        <v>0.65</v>
      </c>
      <c r="E131" s="3">
        <f>VLOOKUP(C131,'sector-factor'!$B$2:$D$23,3,FALSE)</f>
        <v>0.35</v>
      </c>
      <c r="F131" s="3" t="s">
        <v>14</v>
      </c>
      <c r="G131" s="3">
        <f t="shared" ref="G131:G194" si="4">VLOOKUP(F131,$M$2:$N$6,2,FALSE)</f>
        <v>50</v>
      </c>
      <c r="H131" s="4" t="s">
        <v>15</v>
      </c>
      <c r="I131" s="5">
        <v>67.625</v>
      </c>
      <c r="J131" s="6" t="s">
        <v>11</v>
      </c>
      <c r="K131" s="16">
        <f t="shared" ref="K131:K194" si="5">G131*D131+I131*E131</f>
        <v>56.168750000000003</v>
      </c>
    </row>
    <row r="132" spans="1:11" ht="20.149999999999999" customHeight="1">
      <c r="A132" s="3">
        <v>131</v>
      </c>
      <c r="B132" s="4" t="s">
        <v>167</v>
      </c>
      <c r="C132" s="4" t="s">
        <v>29</v>
      </c>
      <c r="D132" s="3">
        <f>VLOOKUP(C132,'sector-factor'!$B$2:$D$23,2,FALSE)</f>
        <v>0.65</v>
      </c>
      <c r="E132" s="3">
        <f>VLOOKUP(C132,'sector-factor'!$B$2:$D$23,3,FALSE)</f>
        <v>0.35</v>
      </c>
      <c r="F132" s="3" t="s">
        <v>14</v>
      </c>
      <c r="G132" s="3">
        <f t="shared" si="4"/>
        <v>50</v>
      </c>
      <c r="H132" s="4" t="s">
        <v>15</v>
      </c>
      <c r="I132" s="5">
        <v>65</v>
      </c>
      <c r="J132" s="6" t="s">
        <v>11</v>
      </c>
      <c r="K132" s="16">
        <f t="shared" si="5"/>
        <v>55.25</v>
      </c>
    </row>
    <row r="133" spans="1:11" ht="20.149999999999999" customHeight="1">
      <c r="A133" s="3">
        <v>132</v>
      </c>
      <c r="B133" s="4" t="s">
        <v>168</v>
      </c>
      <c r="C133" s="4" t="s">
        <v>8</v>
      </c>
      <c r="D133" s="3">
        <f>VLOOKUP(C133,'sector-factor'!$B$2:$D$23,2,FALSE)</f>
        <v>0.6</v>
      </c>
      <c r="E133" s="3">
        <f>VLOOKUP(C133,'sector-factor'!$B$2:$D$23,3,FALSE)</f>
        <v>0.4</v>
      </c>
      <c r="F133" s="3" t="s">
        <v>14</v>
      </c>
      <c r="G133" s="3">
        <f t="shared" si="4"/>
        <v>50</v>
      </c>
      <c r="H133" s="4" t="s">
        <v>15</v>
      </c>
      <c r="I133" s="5">
        <v>95.5</v>
      </c>
      <c r="J133" s="6" t="s">
        <v>41</v>
      </c>
      <c r="K133" s="16">
        <f t="shared" si="5"/>
        <v>68.2</v>
      </c>
    </row>
    <row r="134" spans="1:11" ht="20.149999999999999" customHeight="1">
      <c r="A134" s="3">
        <v>133</v>
      </c>
      <c r="B134" s="4" t="s">
        <v>169</v>
      </c>
      <c r="C134" s="4" t="s">
        <v>26</v>
      </c>
      <c r="D134" s="3">
        <f>VLOOKUP(C134,'sector-factor'!$B$2:$D$23,2,FALSE)</f>
        <v>0.3</v>
      </c>
      <c r="E134" s="3">
        <f>VLOOKUP(C134,'sector-factor'!$B$2:$D$23,3,FALSE)</f>
        <v>0.7</v>
      </c>
      <c r="F134" s="3" t="s">
        <v>14</v>
      </c>
      <c r="G134" s="3">
        <f t="shared" si="4"/>
        <v>50</v>
      </c>
      <c r="H134" s="4" t="s">
        <v>15</v>
      </c>
      <c r="I134" s="5">
        <v>78.375</v>
      </c>
      <c r="J134" s="6" t="s">
        <v>41</v>
      </c>
      <c r="K134" s="16">
        <f t="shared" si="5"/>
        <v>69.862499999999997</v>
      </c>
    </row>
    <row r="135" spans="1:11" ht="20.149999999999999" customHeight="1">
      <c r="A135" s="3">
        <v>134</v>
      </c>
      <c r="B135" s="4" t="s">
        <v>170</v>
      </c>
      <c r="C135" s="4" t="s">
        <v>171</v>
      </c>
      <c r="D135" s="3">
        <f>VLOOKUP(C135,'sector-factor'!$B$2:$D$23,2,FALSE)</f>
        <v>0.5</v>
      </c>
      <c r="E135" s="3">
        <f>VLOOKUP(C135,'sector-factor'!$B$2:$D$23,3,FALSE)</f>
        <v>0.5</v>
      </c>
      <c r="F135" s="3" t="s">
        <v>14</v>
      </c>
      <c r="G135" s="3">
        <f t="shared" si="4"/>
        <v>50</v>
      </c>
      <c r="H135" s="4" t="s">
        <v>15</v>
      </c>
      <c r="I135" s="5">
        <v>76.75</v>
      </c>
      <c r="J135" s="6" t="s">
        <v>41</v>
      </c>
      <c r="K135" s="16">
        <f t="shared" si="5"/>
        <v>63.375</v>
      </c>
    </row>
    <row r="136" spans="1:11" ht="20.149999999999999" customHeight="1">
      <c r="A136" s="3">
        <v>135</v>
      </c>
      <c r="B136" s="4" t="s">
        <v>172</v>
      </c>
      <c r="C136" s="4" t="s">
        <v>29</v>
      </c>
      <c r="D136" s="3">
        <f>VLOOKUP(C136,'sector-factor'!$B$2:$D$23,2,FALSE)</f>
        <v>0.65</v>
      </c>
      <c r="E136" s="3">
        <f>VLOOKUP(C136,'sector-factor'!$B$2:$D$23,3,FALSE)</f>
        <v>0.35</v>
      </c>
      <c r="F136" s="3" t="s">
        <v>19</v>
      </c>
      <c r="G136" s="3">
        <f t="shared" si="4"/>
        <v>30</v>
      </c>
      <c r="H136" s="4" t="s">
        <v>20</v>
      </c>
      <c r="I136" s="5">
        <v>54.625</v>
      </c>
      <c r="J136" s="6" t="s">
        <v>50</v>
      </c>
      <c r="K136" s="16">
        <f t="shared" si="5"/>
        <v>38.618749999999999</v>
      </c>
    </row>
    <row r="137" spans="1:11" ht="20.149999999999999" customHeight="1">
      <c r="A137" s="3">
        <v>136</v>
      </c>
      <c r="B137" s="4" t="s">
        <v>173</v>
      </c>
      <c r="C137" s="4" t="s">
        <v>29</v>
      </c>
      <c r="D137" s="3">
        <f>VLOOKUP(C137,'sector-factor'!$B$2:$D$23,2,FALSE)</f>
        <v>0.65</v>
      </c>
      <c r="E137" s="3">
        <f>VLOOKUP(C137,'sector-factor'!$B$2:$D$23,3,FALSE)</f>
        <v>0.35</v>
      </c>
      <c r="F137" s="3" t="s">
        <v>14</v>
      </c>
      <c r="G137" s="3">
        <f t="shared" si="4"/>
        <v>50</v>
      </c>
      <c r="H137" s="4" t="s">
        <v>15</v>
      </c>
      <c r="I137" s="5">
        <v>65.75</v>
      </c>
      <c r="J137" s="6" t="s">
        <v>11</v>
      </c>
      <c r="K137" s="16">
        <f t="shared" si="5"/>
        <v>55.512500000000003</v>
      </c>
    </row>
    <row r="138" spans="1:11" ht="20.149999999999999" customHeight="1">
      <c r="A138" s="3">
        <v>137</v>
      </c>
      <c r="B138" s="4" t="s">
        <v>174</v>
      </c>
      <c r="C138" s="4" t="s">
        <v>37</v>
      </c>
      <c r="D138" s="3">
        <f>VLOOKUP(C138,'sector-factor'!$B$2:$D$23,2,FALSE)</f>
        <v>0.7</v>
      </c>
      <c r="E138" s="3">
        <f>VLOOKUP(C138,'sector-factor'!$B$2:$D$23,3,FALSE)</f>
        <v>0.3</v>
      </c>
      <c r="F138" s="3" t="s">
        <v>19</v>
      </c>
      <c r="G138" s="3">
        <f t="shared" si="4"/>
        <v>30</v>
      </c>
      <c r="H138" s="4" t="s">
        <v>20</v>
      </c>
      <c r="I138" s="5">
        <v>52.25</v>
      </c>
      <c r="J138" s="6" t="s">
        <v>50</v>
      </c>
      <c r="K138" s="16">
        <f t="shared" si="5"/>
        <v>36.674999999999997</v>
      </c>
    </row>
    <row r="139" spans="1:11" ht="20.149999999999999" customHeight="1">
      <c r="A139" s="3">
        <v>138</v>
      </c>
      <c r="B139" s="4" t="s">
        <v>175</v>
      </c>
      <c r="C139" s="4" t="s">
        <v>96</v>
      </c>
      <c r="D139" s="3">
        <f>VLOOKUP(C139,'sector-factor'!$B$2:$D$23,2,FALSE)</f>
        <v>0.4</v>
      </c>
      <c r="E139" s="3">
        <f>VLOOKUP(C139,'sector-factor'!$B$2:$D$23,3,FALSE)</f>
        <v>0.6</v>
      </c>
      <c r="F139" s="3" t="s">
        <v>39</v>
      </c>
      <c r="G139" s="3">
        <f t="shared" si="4"/>
        <v>90</v>
      </c>
      <c r="H139" s="4" t="s">
        <v>40</v>
      </c>
      <c r="I139" s="5">
        <v>88</v>
      </c>
      <c r="J139" s="6" t="s">
        <v>41</v>
      </c>
      <c r="K139" s="16">
        <f t="shared" si="5"/>
        <v>88.8</v>
      </c>
    </row>
    <row r="140" spans="1:11" ht="20.149999999999999" customHeight="1">
      <c r="A140" s="3">
        <v>139</v>
      </c>
      <c r="B140" s="4" t="s">
        <v>176</v>
      </c>
      <c r="C140" s="4" t="s">
        <v>29</v>
      </c>
      <c r="D140" s="3">
        <f>VLOOKUP(C140,'sector-factor'!$B$2:$D$23,2,FALSE)</f>
        <v>0.65</v>
      </c>
      <c r="E140" s="3">
        <f>VLOOKUP(C140,'sector-factor'!$B$2:$D$23,3,FALSE)</f>
        <v>0.35</v>
      </c>
      <c r="F140" s="3" t="s">
        <v>14</v>
      </c>
      <c r="G140" s="3">
        <f t="shared" si="4"/>
        <v>50</v>
      </c>
      <c r="H140" s="4" t="s">
        <v>15</v>
      </c>
      <c r="I140" s="5">
        <v>65.250000000000014</v>
      </c>
      <c r="J140" s="6" t="s">
        <v>11</v>
      </c>
      <c r="K140" s="16">
        <f t="shared" si="5"/>
        <v>55.337500000000006</v>
      </c>
    </row>
    <row r="141" spans="1:11" ht="20.149999999999999" customHeight="1">
      <c r="A141" s="3">
        <v>140</v>
      </c>
      <c r="B141" s="4" t="s">
        <v>177</v>
      </c>
      <c r="C141" s="4" t="s">
        <v>29</v>
      </c>
      <c r="D141" s="3">
        <f>VLOOKUP(C141,'sector-factor'!$B$2:$D$23,2,FALSE)</f>
        <v>0.65</v>
      </c>
      <c r="E141" s="3">
        <f>VLOOKUP(C141,'sector-factor'!$B$2:$D$23,3,FALSE)</f>
        <v>0.35</v>
      </c>
      <c r="F141" s="3" t="s">
        <v>14</v>
      </c>
      <c r="G141" s="3">
        <f t="shared" si="4"/>
        <v>50</v>
      </c>
      <c r="H141" s="4" t="s">
        <v>15</v>
      </c>
      <c r="I141" s="5">
        <v>60.25</v>
      </c>
      <c r="J141" s="6" t="s">
        <v>11</v>
      </c>
      <c r="K141" s="16">
        <f t="shared" si="5"/>
        <v>53.587499999999999</v>
      </c>
    </row>
    <row r="142" spans="1:11" ht="20.149999999999999" customHeight="1">
      <c r="A142" s="3">
        <v>141</v>
      </c>
      <c r="B142" s="4" t="s">
        <v>178</v>
      </c>
      <c r="C142" s="4" t="s">
        <v>29</v>
      </c>
      <c r="D142" s="3">
        <f>VLOOKUP(C142,'sector-factor'!$B$2:$D$23,2,FALSE)</f>
        <v>0.65</v>
      </c>
      <c r="E142" s="3">
        <f>VLOOKUP(C142,'sector-factor'!$B$2:$D$23,3,FALSE)</f>
        <v>0.35</v>
      </c>
      <c r="F142" s="3" t="s">
        <v>19</v>
      </c>
      <c r="G142" s="3">
        <f t="shared" si="4"/>
        <v>30</v>
      </c>
      <c r="H142" s="4" t="s">
        <v>20</v>
      </c>
      <c r="I142" s="5">
        <v>45.25</v>
      </c>
      <c r="J142" s="6" t="s">
        <v>50</v>
      </c>
      <c r="K142" s="16">
        <f t="shared" si="5"/>
        <v>35.337499999999999</v>
      </c>
    </row>
    <row r="143" spans="1:11" ht="20.149999999999999" customHeight="1">
      <c r="A143" s="3">
        <v>142</v>
      </c>
      <c r="B143" s="4" t="s">
        <v>179</v>
      </c>
      <c r="C143" s="4" t="s">
        <v>35</v>
      </c>
      <c r="D143" s="3">
        <f>VLOOKUP(C143,'sector-factor'!$B$2:$D$23,2,FALSE)</f>
        <v>0.6</v>
      </c>
      <c r="E143" s="3">
        <f>VLOOKUP(C143,'sector-factor'!$B$2:$D$23,3,FALSE)</f>
        <v>0.4</v>
      </c>
      <c r="F143" s="3" t="s">
        <v>48</v>
      </c>
      <c r="G143" s="3">
        <f t="shared" si="4"/>
        <v>0</v>
      </c>
      <c r="H143" s="4" t="s">
        <v>49</v>
      </c>
      <c r="I143" s="5">
        <v>72.5</v>
      </c>
      <c r="J143" s="6" t="s">
        <v>11</v>
      </c>
      <c r="K143" s="16">
        <f t="shared" si="5"/>
        <v>29</v>
      </c>
    </row>
    <row r="144" spans="1:11" ht="20.149999999999999" customHeight="1">
      <c r="A144" s="3">
        <v>143</v>
      </c>
      <c r="B144" s="4" t="s">
        <v>180</v>
      </c>
      <c r="C144" s="4" t="s">
        <v>29</v>
      </c>
      <c r="D144" s="3">
        <f>VLOOKUP(C144,'sector-factor'!$B$2:$D$23,2,FALSE)</f>
        <v>0.65</v>
      </c>
      <c r="E144" s="3">
        <f>VLOOKUP(C144,'sector-factor'!$B$2:$D$23,3,FALSE)</f>
        <v>0.35</v>
      </c>
      <c r="F144" s="3" t="s">
        <v>14</v>
      </c>
      <c r="G144" s="3">
        <f t="shared" si="4"/>
        <v>50</v>
      </c>
      <c r="H144" s="4" t="s">
        <v>15</v>
      </c>
      <c r="I144" s="5">
        <v>73</v>
      </c>
      <c r="J144" s="6" t="s">
        <v>11</v>
      </c>
      <c r="K144" s="16">
        <f t="shared" si="5"/>
        <v>58.05</v>
      </c>
    </row>
    <row r="145" spans="1:11" ht="20.149999999999999" customHeight="1">
      <c r="A145" s="3">
        <v>144</v>
      </c>
      <c r="B145" s="4" t="s">
        <v>181</v>
      </c>
      <c r="C145" s="4" t="s">
        <v>45</v>
      </c>
      <c r="D145" s="3">
        <f>VLOOKUP(C145,'sector-factor'!$B$2:$D$23,2,FALSE)</f>
        <v>0.65</v>
      </c>
      <c r="E145" s="3">
        <f>VLOOKUP(C145,'sector-factor'!$B$2:$D$23,3,FALSE)</f>
        <v>0.35</v>
      </c>
      <c r="F145" s="3" t="s">
        <v>9</v>
      </c>
      <c r="G145" s="3">
        <f t="shared" si="4"/>
        <v>70</v>
      </c>
      <c r="H145" s="4" t="s">
        <v>10</v>
      </c>
      <c r="I145" s="5">
        <v>71.25</v>
      </c>
      <c r="J145" s="6" t="s">
        <v>11</v>
      </c>
      <c r="K145" s="16">
        <f t="shared" si="5"/>
        <v>70.4375</v>
      </c>
    </row>
    <row r="146" spans="1:11" ht="20.149999999999999" customHeight="1">
      <c r="A146" s="3">
        <v>145</v>
      </c>
      <c r="B146" s="4" t="s">
        <v>182</v>
      </c>
      <c r="C146" s="4" t="s">
        <v>37</v>
      </c>
      <c r="D146" s="3">
        <f>VLOOKUP(C146,'sector-factor'!$B$2:$D$23,2,FALSE)</f>
        <v>0.7</v>
      </c>
      <c r="E146" s="3">
        <f>VLOOKUP(C146,'sector-factor'!$B$2:$D$23,3,FALSE)</f>
        <v>0.3</v>
      </c>
      <c r="F146" s="3" t="s">
        <v>14</v>
      </c>
      <c r="G146" s="3">
        <f t="shared" si="4"/>
        <v>50</v>
      </c>
      <c r="H146" s="4" t="s">
        <v>15</v>
      </c>
      <c r="I146" s="5">
        <v>78.75</v>
      </c>
      <c r="J146" s="6" t="s">
        <v>41</v>
      </c>
      <c r="K146" s="16">
        <f t="shared" si="5"/>
        <v>58.625</v>
      </c>
    </row>
    <row r="147" spans="1:11" ht="20.149999999999999" customHeight="1">
      <c r="A147" s="3">
        <v>146</v>
      </c>
      <c r="B147" s="4" t="s">
        <v>183</v>
      </c>
      <c r="C147" s="4" t="s">
        <v>29</v>
      </c>
      <c r="D147" s="3">
        <f>VLOOKUP(C147,'sector-factor'!$B$2:$D$23,2,FALSE)</f>
        <v>0.65</v>
      </c>
      <c r="E147" s="3">
        <f>VLOOKUP(C147,'sector-factor'!$B$2:$D$23,3,FALSE)</f>
        <v>0.35</v>
      </c>
      <c r="F147" s="3" t="s">
        <v>14</v>
      </c>
      <c r="G147" s="3">
        <f t="shared" si="4"/>
        <v>50</v>
      </c>
      <c r="H147" s="4" t="s">
        <v>15</v>
      </c>
      <c r="I147" s="5">
        <v>56.000000000000007</v>
      </c>
      <c r="J147" s="6" t="s">
        <v>11</v>
      </c>
      <c r="K147" s="16">
        <f t="shared" si="5"/>
        <v>52.1</v>
      </c>
    </row>
    <row r="148" spans="1:11" ht="20.149999999999999" customHeight="1">
      <c r="A148" s="3">
        <v>147</v>
      </c>
      <c r="B148" s="4" t="s">
        <v>184</v>
      </c>
      <c r="C148" s="4" t="s">
        <v>43</v>
      </c>
      <c r="D148" s="3">
        <f>VLOOKUP(C148,'sector-factor'!$B$2:$D$23,2,FALSE)</f>
        <v>0.75</v>
      </c>
      <c r="E148" s="3">
        <f>VLOOKUP(C148,'sector-factor'!$B$2:$D$23,3,FALSE)</f>
        <v>0.25</v>
      </c>
      <c r="F148" s="3" t="s">
        <v>14</v>
      </c>
      <c r="G148" s="3">
        <f t="shared" si="4"/>
        <v>50</v>
      </c>
      <c r="H148" s="4" t="s">
        <v>15</v>
      </c>
      <c r="I148" s="5">
        <v>64.5</v>
      </c>
      <c r="J148" s="6" t="s">
        <v>11</v>
      </c>
      <c r="K148" s="16">
        <f t="shared" si="5"/>
        <v>53.625</v>
      </c>
    </row>
    <row r="149" spans="1:11" ht="20.149999999999999" customHeight="1">
      <c r="A149" s="3">
        <v>148</v>
      </c>
      <c r="B149" s="4" t="s">
        <v>185</v>
      </c>
      <c r="C149" s="4" t="s">
        <v>43</v>
      </c>
      <c r="D149" s="3">
        <f>VLOOKUP(C149,'sector-factor'!$B$2:$D$23,2,FALSE)</f>
        <v>0.75</v>
      </c>
      <c r="E149" s="3">
        <f>VLOOKUP(C149,'sector-factor'!$B$2:$D$23,3,FALSE)</f>
        <v>0.25</v>
      </c>
      <c r="F149" s="3" t="s">
        <v>14</v>
      </c>
      <c r="G149" s="3">
        <f t="shared" si="4"/>
        <v>50</v>
      </c>
      <c r="H149" s="4" t="s">
        <v>15</v>
      </c>
      <c r="I149" s="5">
        <v>48.25</v>
      </c>
      <c r="J149" s="6" t="s">
        <v>50</v>
      </c>
      <c r="K149" s="16">
        <f t="shared" si="5"/>
        <v>49.5625</v>
      </c>
    </row>
    <row r="150" spans="1:11" ht="20.149999999999999" customHeight="1">
      <c r="A150" s="3">
        <v>149</v>
      </c>
      <c r="B150" s="4" t="s">
        <v>186</v>
      </c>
      <c r="C150" s="4" t="s">
        <v>45</v>
      </c>
      <c r="D150" s="3">
        <f>VLOOKUP(C150,'sector-factor'!$B$2:$D$23,2,FALSE)</f>
        <v>0.65</v>
      </c>
      <c r="E150" s="3">
        <f>VLOOKUP(C150,'sector-factor'!$B$2:$D$23,3,FALSE)</f>
        <v>0.35</v>
      </c>
      <c r="F150" s="3" t="s">
        <v>19</v>
      </c>
      <c r="G150" s="3">
        <f t="shared" si="4"/>
        <v>30</v>
      </c>
      <c r="H150" s="4" t="s">
        <v>20</v>
      </c>
      <c r="I150" s="5">
        <v>67</v>
      </c>
      <c r="J150" s="6" t="s">
        <v>11</v>
      </c>
      <c r="K150" s="16">
        <f t="shared" si="5"/>
        <v>42.95</v>
      </c>
    </row>
    <row r="151" spans="1:11" ht="20.149999999999999" customHeight="1">
      <c r="A151" s="3">
        <v>150</v>
      </c>
      <c r="B151" s="4" t="s">
        <v>187</v>
      </c>
      <c r="C151" s="4" t="s">
        <v>29</v>
      </c>
      <c r="D151" s="3">
        <f>VLOOKUP(C151,'sector-factor'!$B$2:$D$23,2,FALSE)</f>
        <v>0.65</v>
      </c>
      <c r="E151" s="3">
        <f>VLOOKUP(C151,'sector-factor'!$B$2:$D$23,3,FALSE)</f>
        <v>0.35</v>
      </c>
      <c r="F151" s="3" t="s">
        <v>19</v>
      </c>
      <c r="G151" s="3">
        <f t="shared" si="4"/>
        <v>30</v>
      </c>
      <c r="H151" s="4" t="s">
        <v>20</v>
      </c>
      <c r="I151" s="5">
        <v>55.625</v>
      </c>
      <c r="J151" s="6" t="s">
        <v>11</v>
      </c>
      <c r="K151" s="16">
        <f t="shared" si="5"/>
        <v>38.96875</v>
      </c>
    </row>
    <row r="152" spans="1:11" ht="20.149999999999999" customHeight="1">
      <c r="A152" s="3">
        <v>151</v>
      </c>
      <c r="B152" s="4" t="s">
        <v>188</v>
      </c>
      <c r="C152" s="4" t="s">
        <v>35</v>
      </c>
      <c r="D152" s="3">
        <f>VLOOKUP(C152,'sector-factor'!$B$2:$D$23,2,FALSE)</f>
        <v>0.6</v>
      </c>
      <c r="E152" s="3">
        <f>VLOOKUP(C152,'sector-factor'!$B$2:$D$23,3,FALSE)</f>
        <v>0.4</v>
      </c>
      <c r="F152" s="3" t="s">
        <v>39</v>
      </c>
      <c r="G152" s="3">
        <f t="shared" si="4"/>
        <v>90</v>
      </c>
      <c r="H152" s="4" t="s">
        <v>40</v>
      </c>
      <c r="I152" s="5">
        <v>82.625</v>
      </c>
      <c r="J152" s="6" t="s">
        <v>41</v>
      </c>
      <c r="K152" s="16">
        <f t="shared" si="5"/>
        <v>87.050000000000011</v>
      </c>
    </row>
    <row r="153" spans="1:11" ht="20.149999999999999" customHeight="1">
      <c r="A153" s="3">
        <v>152</v>
      </c>
      <c r="B153" s="4" t="s">
        <v>189</v>
      </c>
      <c r="C153" s="4" t="s">
        <v>35</v>
      </c>
      <c r="D153" s="3">
        <f>VLOOKUP(C153,'sector-factor'!$B$2:$D$23,2,FALSE)</f>
        <v>0.6</v>
      </c>
      <c r="E153" s="3">
        <f>VLOOKUP(C153,'sector-factor'!$B$2:$D$23,3,FALSE)</f>
        <v>0.4</v>
      </c>
      <c r="F153" s="3" t="s">
        <v>14</v>
      </c>
      <c r="G153" s="3">
        <f t="shared" si="4"/>
        <v>50</v>
      </c>
      <c r="H153" s="4" t="s">
        <v>15</v>
      </c>
      <c r="I153" s="5">
        <v>74.75</v>
      </c>
      <c r="J153" s="6" t="s">
        <v>11</v>
      </c>
      <c r="K153" s="16">
        <f t="shared" si="5"/>
        <v>59.900000000000006</v>
      </c>
    </row>
    <row r="154" spans="1:11" ht="20.149999999999999" customHeight="1">
      <c r="A154" s="3">
        <v>153</v>
      </c>
      <c r="B154" s="4" t="s">
        <v>190</v>
      </c>
      <c r="C154" s="4" t="s">
        <v>29</v>
      </c>
      <c r="D154" s="3">
        <f>VLOOKUP(C154,'sector-factor'!$B$2:$D$23,2,FALSE)</f>
        <v>0.65</v>
      </c>
      <c r="E154" s="3">
        <f>VLOOKUP(C154,'sector-factor'!$B$2:$D$23,3,FALSE)</f>
        <v>0.35</v>
      </c>
      <c r="F154" s="3" t="s">
        <v>19</v>
      </c>
      <c r="G154" s="3">
        <f t="shared" si="4"/>
        <v>30</v>
      </c>
      <c r="H154" s="4" t="s">
        <v>20</v>
      </c>
      <c r="I154" s="5">
        <v>66.875</v>
      </c>
      <c r="J154" s="6" t="s">
        <v>11</v>
      </c>
      <c r="K154" s="16">
        <f t="shared" si="5"/>
        <v>42.90625</v>
      </c>
    </row>
    <row r="155" spans="1:11" ht="20.149999999999999" customHeight="1">
      <c r="A155" s="3">
        <v>154</v>
      </c>
      <c r="B155" s="4" t="s">
        <v>191</v>
      </c>
      <c r="C155" s="4" t="s">
        <v>8</v>
      </c>
      <c r="D155" s="3">
        <f>VLOOKUP(C155,'sector-factor'!$B$2:$D$23,2,FALSE)</f>
        <v>0.6</v>
      </c>
      <c r="E155" s="3">
        <f>VLOOKUP(C155,'sector-factor'!$B$2:$D$23,3,FALSE)</f>
        <v>0.4</v>
      </c>
      <c r="F155" s="3" t="s">
        <v>19</v>
      </c>
      <c r="G155" s="3">
        <f t="shared" si="4"/>
        <v>30</v>
      </c>
      <c r="H155" s="4" t="s">
        <v>20</v>
      </c>
      <c r="I155" s="5">
        <v>66.25</v>
      </c>
      <c r="J155" s="6" t="s">
        <v>11</v>
      </c>
      <c r="K155" s="16">
        <f t="shared" si="5"/>
        <v>44.5</v>
      </c>
    </row>
    <row r="156" spans="1:11" ht="20.149999999999999" customHeight="1">
      <c r="A156" s="3">
        <v>155</v>
      </c>
      <c r="B156" s="4" t="s">
        <v>192</v>
      </c>
      <c r="C156" s="4" t="s">
        <v>37</v>
      </c>
      <c r="D156" s="3">
        <f>VLOOKUP(C156,'sector-factor'!$B$2:$D$23,2,FALSE)</f>
        <v>0.7</v>
      </c>
      <c r="E156" s="3">
        <f>VLOOKUP(C156,'sector-factor'!$B$2:$D$23,3,FALSE)</f>
        <v>0.3</v>
      </c>
      <c r="F156" s="3" t="s">
        <v>19</v>
      </c>
      <c r="G156" s="3">
        <f t="shared" si="4"/>
        <v>30</v>
      </c>
      <c r="H156" s="4" t="s">
        <v>20</v>
      </c>
      <c r="I156" s="5">
        <v>73</v>
      </c>
      <c r="J156" s="6" t="s">
        <v>11</v>
      </c>
      <c r="K156" s="16">
        <f t="shared" si="5"/>
        <v>42.9</v>
      </c>
    </row>
    <row r="157" spans="1:11" ht="20.149999999999999" customHeight="1">
      <c r="A157" s="3">
        <v>156</v>
      </c>
      <c r="B157" s="4" t="s">
        <v>193</v>
      </c>
      <c r="C157" s="4" t="s">
        <v>194</v>
      </c>
      <c r="D157" s="3">
        <f>VLOOKUP(C157,'sector-factor'!$B$2:$D$23,2,FALSE)</f>
        <v>0.65</v>
      </c>
      <c r="E157" s="3">
        <f>VLOOKUP(C157,'sector-factor'!$B$2:$D$23,3,FALSE)</f>
        <v>0.35</v>
      </c>
      <c r="F157" s="3" t="s">
        <v>14</v>
      </c>
      <c r="G157" s="3">
        <f t="shared" si="4"/>
        <v>50</v>
      </c>
      <c r="H157" s="4" t="s">
        <v>15</v>
      </c>
      <c r="I157" s="5">
        <v>66.25</v>
      </c>
      <c r="J157" s="6" t="s">
        <v>11</v>
      </c>
      <c r="K157" s="16">
        <f t="shared" si="5"/>
        <v>55.6875</v>
      </c>
    </row>
    <row r="158" spans="1:11" ht="20.149999999999999" customHeight="1">
      <c r="A158" s="3">
        <v>157</v>
      </c>
      <c r="B158" s="4" t="s">
        <v>195</v>
      </c>
      <c r="C158" s="4" t="s">
        <v>37</v>
      </c>
      <c r="D158" s="3">
        <f>VLOOKUP(C158,'sector-factor'!$B$2:$D$23,2,FALSE)</f>
        <v>0.7</v>
      </c>
      <c r="E158" s="3">
        <f>VLOOKUP(C158,'sector-factor'!$B$2:$D$23,3,FALSE)</f>
        <v>0.3</v>
      </c>
      <c r="F158" s="3" t="s">
        <v>19</v>
      </c>
      <c r="G158" s="3">
        <f t="shared" si="4"/>
        <v>30</v>
      </c>
      <c r="H158" s="4" t="s">
        <v>20</v>
      </c>
      <c r="I158" s="5">
        <v>70.5</v>
      </c>
      <c r="J158" s="6" t="s">
        <v>11</v>
      </c>
      <c r="K158" s="16">
        <f t="shared" si="5"/>
        <v>42.15</v>
      </c>
    </row>
    <row r="159" spans="1:11" ht="20.149999999999999" customHeight="1">
      <c r="A159" s="3">
        <v>158</v>
      </c>
      <c r="B159" s="4" t="s">
        <v>196</v>
      </c>
      <c r="C159" s="4" t="s">
        <v>29</v>
      </c>
      <c r="D159" s="3">
        <f>VLOOKUP(C159,'sector-factor'!$B$2:$D$23,2,FALSE)</f>
        <v>0.65</v>
      </c>
      <c r="E159" s="3">
        <f>VLOOKUP(C159,'sector-factor'!$B$2:$D$23,3,FALSE)</f>
        <v>0.35</v>
      </c>
      <c r="F159" s="3" t="s">
        <v>14</v>
      </c>
      <c r="G159" s="3">
        <f t="shared" si="4"/>
        <v>50</v>
      </c>
      <c r="H159" s="4" t="s">
        <v>15</v>
      </c>
      <c r="I159" s="5">
        <v>57.25</v>
      </c>
      <c r="J159" s="6" t="s">
        <v>11</v>
      </c>
      <c r="K159" s="16">
        <f t="shared" si="5"/>
        <v>52.537499999999994</v>
      </c>
    </row>
    <row r="160" spans="1:11" ht="20.149999999999999" customHeight="1">
      <c r="A160" s="3">
        <v>159</v>
      </c>
      <c r="B160" s="4" t="s">
        <v>197</v>
      </c>
      <c r="C160" s="4" t="s">
        <v>13</v>
      </c>
      <c r="D160" s="3">
        <f>VLOOKUP(C160,'sector-factor'!$B$2:$D$23,2,FALSE)</f>
        <v>0.6</v>
      </c>
      <c r="E160" s="3">
        <f>VLOOKUP(C160,'sector-factor'!$B$2:$D$23,3,FALSE)</f>
        <v>0.4</v>
      </c>
      <c r="F160" s="3" t="s">
        <v>19</v>
      </c>
      <c r="G160" s="3">
        <f t="shared" si="4"/>
        <v>30</v>
      </c>
      <c r="H160" s="4" t="s">
        <v>20</v>
      </c>
      <c r="I160" s="5">
        <v>50</v>
      </c>
      <c r="J160" s="6" t="s">
        <v>50</v>
      </c>
      <c r="K160" s="16">
        <f t="shared" si="5"/>
        <v>38</v>
      </c>
    </row>
    <row r="161" spans="1:11" ht="20.149999999999999" customHeight="1">
      <c r="A161" s="3">
        <v>160</v>
      </c>
      <c r="B161" s="4" t="s">
        <v>198</v>
      </c>
      <c r="C161" s="4" t="s">
        <v>29</v>
      </c>
      <c r="D161" s="3">
        <f>VLOOKUP(C161,'sector-factor'!$B$2:$D$23,2,FALSE)</f>
        <v>0.65</v>
      </c>
      <c r="E161" s="3">
        <f>VLOOKUP(C161,'sector-factor'!$B$2:$D$23,3,FALSE)</f>
        <v>0.35</v>
      </c>
      <c r="F161" s="3" t="s">
        <v>14</v>
      </c>
      <c r="G161" s="3">
        <f t="shared" si="4"/>
        <v>50</v>
      </c>
      <c r="H161" s="4" t="s">
        <v>15</v>
      </c>
      <c r="I161" s="5">
        <v>75</v>
      </c>
      <c r="J161" s="6" t="s">
        <v>41</v>
      </c>
      <c r="K161" s="16">
        <f t="shared" si="5"/>
        <v>58.75</v>
      </c>
    </row>
    <row r="162" spans="1:11" ht="20.149999999999999" customHeight="1">
      <c r="A162" s="3">
        <v>161</v>
      </c>
      <c r="B162" s="4" t="s">
        <v>199</v>
      </c>
      <c r="C162" s="4" t="s">
        <v>29</v>
      </c>
      <c r="D162" s="3">
        <f>VLOOKUP(C162,'sector-factor'!$B$2:$D$23,2,FALSE)</f>
        <v>0.65</v>
      </c>
      <c r="E162" s="3">
        <f>VLOOKUP(C162,'sector-factor'!$B$2:$D$23,3,FALSE)</f>
        <v>0.35</v>
      </c>
      <c r="F162" s="3" t="s">
        <v>19</v>
      </c>
      <c r="G162" s="3">
        <f t="shared" si="4"/>
        <v>30</v>
      </c>
      <c r="H162" s="4" t="s">
        <v>20</v>
      </c>
      <c r="I162" s="5">
        <v>47.25</v>
      </c>
      <c r="J162" s="6" t="s">
        <v>50</v>
      </c>
      <c r="K162" s="16">
        <f t="shared" si="5"/>
        <v>36.037499999999994</v>
      </c>
    </row>
    <row r="163" spans="1:11" ht="20.149999999999999" customHeight="1">
      <c r="A163" s="3">
        <v>162</v>
      </c>
      <c r="B163" s="4" t="s">
        <v>200</v>
      </c>
      <c r="C163" s="4" t="s">
        <v>13</v>
      </c>
      <c r="D163" s="3">
        <f>VLOOKUP(C163,'sector-factor'!$B$2:$D$23,2,FALSE)</f>
        <v>0.6</v>
      </c>
      <c r="E163" s="3">
        <f>VLOOKUP(C163,'sector-factor'!$B$2:$D$23,3,FALSE)</f>
        <v>0.4</v>
      </c>
      <c r="F163" s="3" t="s">
        <v>14</v>
      </c>
      <c r="G163" s="3">
        <f t="shared" si="4"/>
        <v>50</v>
      </c>
      <c r="H163" s="4" t="s">
        <v>15</v>
      </c>
      <c r="I163" s="5">
        <v>73.5</v>
      </c>
      <c r="J163" s="6" t="s">
        <v>11</v>
      </c>
      <c r="K163" s="16">
        <f t="shared" si="5"/>
        <v>59.400000000000006</v>
      </c>
    </row>
    <row r="164" spans="1:11" ht="20.149999999999999" customHeight="1">
      <c r="A164" s="3">
        <v>163</v>
      </c>
      <c r="B164" s="4" t="s">
        <v>201</v>
      </c>
      <c r="C164" s="4" t="s">
        <v>13</v>
      </c>
      <c r="D164" s="3">
        <f>VLOOKUP(C164,'sector-factor'!$B$2:$D$23,2,FALSE)</f>
        <v>0.6</v>
      </c>
      <c r="E164" s="3">
        <f>VLOOKUP(C164,'sector-factor'!$B$2:$D$23,3,FALSE)</f>
        <v>0.4</v>
      </c>
      <c r="F164" s="3" t="s">
        <v>9</v>
      </c>
      <c r="G164" s="3">
        <f t="shared" si="4"/>
        <v>70</v>
      </c>
      <c r="H164" s="4" t="s">
        <v>10</v>
      </c>
      <c r="I164" s="5">
        <v>76.75</v>
      </c>
      <c r="J164" s="6" t="s">
        <v>41</v>
      </c>
      <c r="K164" s="16">
        <f t="shared" si="5"/>
        <v>72.7</v>
      </c>
    </row>
    <row r="165" spans="1:11" ht="20.149999999999999" customHeight="1">
      <c r="A165" s="3">
        <v>164</v>
      </c>
      <c r="B165" s="4" t="s">
        <v>202</v>
      </c>
      <c r="C165" s="4" t="s">
        <v>35</v>
      </c>
      <c r="D165" s="3">
        <f>VLOOKUP(C165,'sector-factor'!$B$2:$D$23,2,FALSE)</f>
        <v>0.6</v>
      </c>
      <c r="E165" s="3">
        <f>VLOOKUP(C165,'sector-factor'!$B$2:$D$23,3,FALSE)</f>
        <v>0.4</v>
      </c>
      <c r="F165" s="3" t="s">
        <v>9</v>
      </c>
      <c r="G165" s="3">
        <f t="shared" si="4"/>
        <v>70</v>
      </c>
      <c r="H165" s="4" t="s">
        <v>10</v>
      </c>
      <c r="I165" s="5">
        <v>68.75</v>
      </c>
      <c r="J165" s="6" t="s">
        <v>11</v>
      </c>
      <c r="K165" s="16">
        <f t="shared" si="5"/>
        <v>69.5</v>
      </c>
    </row>
    <row r="166" spans="1:11" ht="20.149999999999999" customHeight="1">
      <c r="A166" s="3">
        <v>165</v>
      </c>
      <c r="B166" s="4" t="s">
        <v>203</v>
      </c>
      <c r="C166" s="4" t="s">
        <v>18</v>
      </c>
      <c r="D166" s="3">
        <f>VLOOKUP(C166,'sector-factor'!$B$2:$D$23,2,FALSE)</f>
        <v>0.7</v>
      </c>
      <c r="E166" s="3">
        <f>VLOOKUP(C166,'sector-factor'!$B$2:$D$23,3,FALSE)</f>
        <v>0.3</v>
      </c>
      <c r="F166" s="3" t="s">
        <v>14</v>
      </c>
      <c r="G166" s="3">
        <f t="shared" si="4"/>
        <v>50</v>
      </c>
      <c r="H166" s="4" t="s">
        <v>15</v>
      </c>
      <c r="I166" s="5">
        <v>75.25</v>
      </c>
      <c r="J166" s="6" t="s">
        <v>41</v>
      </c>
      <c r="K166" s="16">
        <f t="shared" si="5"/>
        <v>57.575000000000003</v>
      </c>
    </row>
    <row r="167" spans="1:11" ht="20.149999999999999" customHeight="1">
      <c r="A167" s="3">
        <v>166</v>
      </c>
      <c r="B167" s="4" t="s">
        <v>204</v>
      </c>
      <c r="C167" s="4" t="s">
        <v>13</v>
      </c>
      <c r="D167" s="3">
        <f>VLOOKUP(C167,'sector-factor'!$B$2:$D$23,2,FALSE)</f>
        <v>0.6</v>
      </c>
      <c r="E167" s="3">
        <f>VLOOKUP(C167,'sector-factor'!$B$2:$D$23,3,FALSE)</f>
        <v>0.4</v>
      </c>
      <c r="F167" s="3" t="s">
        <v>14</v>
      </c>
      <c r="G167" s="3">
        <f t="shared" si="4"/>
        <v>50</v>
      </c>
      <c r="H167" s="4" t="s">
        <v>15</v>
      </c>
      <c r="I167" s="5">
        <v>76.25</v>
      </c>
      <c r="J167" s="6" t="s">
        <v>41</v>
      </c>
      <c r="K167" s="16">
        <f t="shared" si="5"/>
        <v>60.5</v>
      </c>
    </row>
    <row r="168" spans="1:11" ht="20.149999999999999" customHeight="1">
      <c r="A168" s="3">
        <v>167</v>
      </c>
      <c r="B168" s="4" t="s">
        <v>205</v>
      </c>
      <c r="C168" s="4" t="s">
        <v>13</v>
      </c>
      <c r="D168" s="3">
        <f>VLOOKUP(C168,'sector-factor'!$B$2:$D$23,2,FALSE)</f>
        <v>0.6</v>
      </c>
      <c r="E168" s="3">
        <f>VLOOKUP(C168,'sector-factor'!$B$2:$D$23,3,FALSE)</f>
        <v>0.4</v>
      </c>
      <c r="F168" s="3" t="s">
        <v>14</v>
      </c>
      <c r="G168" s="3">
        <f t="shared" si="4"/>
        <v>50</v>
      </c>
      <c r="H168" s="4" t="s">
        <v>15</v>
      </c>
      <c r="I168" s="5">
        <v>43.375</v>
      </c>
      <c r="J168" s="6" t="s">
        <v>50</v>
      </c>
      <c r="K168" s="16">
        <f t="shared" si="5"/>
        <v>47.35</v>
      </c>
    </row>
    <row r="169" spans="1:11" ht="20.149999999999999" customHeight="1">
      <c r="A169" s="3">
        <v>168</v>
      </c>
      <c r="B169" s="4" t="s">
        <v>206</v>
      </c>
      <c r="C169" s="4" t="s">
        <v>13</v>
      </c>
      <c r="D169" s="3">
        <f>VLOOKUP(C169,'sector-factor'!$B$2:$D$23,2,FALSE)</f>
        <v>0.6</v>
      </c>
      <c r="E169" s="3">
        <f>VLOOKUP(C169,'sector-factor'!$B$2:$D$23,3,FALSE)</f>
        <v>0.4</v>
      </c>
      <c r="F169" s="3" t="s">
        <v>14</v>
      </c>
      <c r="G169" s="3">
        <f t="shared" si="4"/>
        <v>50</v>
      </c>
      <c r="H169" s="4" t="s">
        <v>15</v>
      </c>
      <c r="I169" s="5">
        <v>50.749999999999993</v>
      </c>
      <c r="J169" s="6" t="s">
        <v>50</v>
      </c>
      <c r="K169" s="16">
        <f t="shared" si="5"/>
        <v>50.3</v>
      </c>
    </row>
    <row r="170" spans="1:11" ht="20.149999999999999" customHeight="1">
      <c r="A170" s="3">
        <v>169</v>
      </c>
      <c r="B170" s="4" t="s">
        <v>207</v>
      </c>
      <c r="C170" s="4" t="s">
        <v>35</v>
      </c>
      <c r="D170" s="3">
        <f>VLOOKUP(C170,'sector-factor'!$B$2:$D$23,2,FALSE)</f>
        <v>0.6</v>
      </c>
      <c r="E170" s="3">
        <f>VLOOKUP(C170,'sector-factor'!$B$2:$D$23,3,FALSE)</f>
        <v>0.4</v>
      </c>
      <c r="F170" s="3" t="s">
        <v>39</v>
      </c>
      <c r="G170" s="3">
        <f t="shared" si="4"/>
        <v>90</v>
      </c>
      <c r="H170" s="4" t="s">
        <v>40</v>
      </c>
      <c r="I170" s="5">
        <v>82.5</v>
      </c>
      <c r="J170" s="6" t="s">
        <v>41</v>
      </c>
      <c r="K170" s="16">
        <f t="shared" si="5"/>
        <v>87</v>
      </c>
    </row>
    <row r="171" spans="1:11" ht="20.149999999999999" customHeight="1">
      <c r="A171" s="3">
        <v>170</v>
      </c>
      <c r="B171" s="4" t="s">
        <v>208</v>
      </c>
      <c r="C171" s="4" t="s">
        <v>13</v>
      </c>
      <c r="D171" s="3">
        <f>VLOOKUP(C171,'sector-factor'!$B$2:$D$23,2,FALSE)</f>
        <v>0.6</v>
      </c>
      <c r="E171" s="3">
        <f>VLOOKUP(C171,'sector-factor'!$B$2:$D$23,3,FALSE)</f>
        <v>0.4</v>
      </c>
      <c r="F171" s="3" t="s">
        <v>9</v>
      </c>
      <c r="G171" s="3">
        <f t="shared" si="4"/>
        <v>70</v>
      </c>
      <c r="H171" s="4" t="s">
        <v>10</v>
      </c>
      <c r="I171" s="5">
        <v>77.5</v>
      </c>
      <c r="J171" s="6" t="s">
        <v>41</v>
      </c>
      <c r="K171" s="16">
        <f t="shared" si="5"/>
        <v>73</v>
      </c>
    </row>
    <row r="172" spans="1:11" ht="20.149999999999999" customHeight="1">
      <c r="A172" s="3">
        <v>171</v>
      </c>
      <c r="B172" s="4" t="s">
        <v>209</v>
      </c>
      <c r="C172" s="4" t="s">
        <v>13</v>
      </c>
      <c r="D172" s="3">
        <f>VLOOKUP(C172,'sector-factor'!$B$2:$D$23,2,FALSE)</f>
        <v>0.6</v>
      </c>
      <c r="E172" s="3">
        <f>VLOOKUP(C172,'sector-factor'!$B$2:$D$23,3,FALSE)</f>
        <v>0.4</v>
      </c>
      <c r="F172" s="3" t="s">
        <v>9</v>
      </c>
      <c r="G172" s="3">
        <f t="shared" si="4"/>
        <v>70</v>
      </c>
      <c r="H172" s="4" t="s">
        <v>10</v>
      </c>
      <c r="I172" s="5">
        <v>71</v>
      </c>
      <c r="J172" s="6" t="s">
        <v>11</v>
      </c>
      <c r="K172" s="16">
        <f t="shared" si="5"/>
        <v>70.400000000000006</v>
      </c>
    </row>
    <row r="173" spans="1:11" ht="20.149999999999999" customHeight="1">
      <c r="A173" s="3">
        <v>172</v>
      </c>
      <c r="B173" s="4" t="s">
        <v>210</v>
      </c>
      <c r="C173" s="4" t="s">
        <v>13</v>
      </c>
      <c r="D173" s="3">
        <f>VLOOKUP(C173,'sector-factor'!$B$2:$D$23,2,FALSE)</f>
        <v>0.6</v>
      </c>
      <c r="E173" s="3">
        <f>VLOOKUP(C173,'sector-factor'!$B$2:$D$23,3,FALSE)</f>
        <v>0.4</v>
      </c>
      <c r="F173" s="3" t="s">
        <v>14</v>
      </c>
      <c r="G173" s="3">
        <f t="shared" si="4"/>
        <v>50</v>
      </c>
      <c r="H173" s="4" t="s">
        <v>15</v>
      </c>
      <c r="I173" s="5">
        <v>74.75</v>
      </c>
      <c r="J173" s="6" t="s">
        <v>11</v>
      </c>
      <c r="K173" s="16">
        <f t="shared" si="5"/>
        <v>59.900000000000006</v>
      </c>
    </row>
    <row r="174" spans="1:11" ht="20.149999999999999" customHeight="1">
      <c r="A174" s="3">
        <v>173</v>
      </c>
      <c r="B174" s="4" t="s">
        <v>211</v>
      </c>
      <c r="C174" s="4" t="s">
        <v>43</v>
      </c>
      <c r="D174" s="3">
        <f>VLOOKUP(C174,'sector-factor'!$B$2:$D$23,2,FALSE)</f>
        <v>0.75</v>
      </c>
      <c r="E174" s="3">
        <f>VLOOKUP(C174,'sector-factor'!$B$2:$D$23,3,FALSE)</f>
        <v>0.25</v>
      </c>
      <c r="F174" s="3" t="s">
        <v>9</v>
      </c>
      <c r="G174" s="3">
        <f t="shared" si="4"/>
        <v>70</v>
      </c>
      <c r="H174" s="4" t="s">
        <v>10</v>
      </c>
      <c r="I174" s="5">
        <v>77.75</v>
      </c>
      <c r="J174" s="6" t="s">
        <v>41</v>
      </c>
      <c r="K174" s="16">
        <f t="shared" si="5"/>
        <v>71.9375</v>
      </c>
    </row>
    <row r="175" spans="1:11" ht="20.149999999999999" customHeight="1">
      <c r="A175" s="3">
        <v>174</v>
      </c>
      <c r="B175" s="4" t="s">
        <v>212</v>
      </c>
      <c r="C175" s="4" t="s">
        <v>37</v>
      </c>
      <c r="D175" s="3">
        <f>VLOOKUP(C175,'sector-factor'!$B$2:$D$23,2,FALSE)</f>
        <v>0.7</v>
      </c>
      <c r="E175" s="3">
        <f>VLOOKUP(C175,'sector-factor'!$B$2:$D$23,3,FALSE)</f>
        <v>0.3</v>
      </c>
      <c r="F175" s="3" t="s">
        <v>19</v>
      </c>
      <c r="G175" s="3">
        <f t="shared" si="4"/>
        <v>30</v>
      </c>
      <c r="H175" s="4" t="s">
        <v>20</v>
      </c>
      <c r="I175" s="5">
        <v>63.374999999999993</v>
      </c>
      <c r="J175" s="6" t="s">
        <v>11</v>
      </c>
      <c r="K175" s="16">
        <f t="shared" si="5"/>
        <v>40.012499999999996</v>
      </c>
    </row>
    <row r="176" spans="1:11" ht="20.149999999999999" customHeight="1">
      <c r="A176" s="3">
        <v>175</v>
      </c>
      <c r="B176" s="4" t="s">
        <v>213</v>
      </c>
      <c r="C176" s="4" t="s">
        <v>35</v>
      </c>
      <c r="D176" s="3">
        <f>VLOOKUP(C176,'sector-factor'!$B$2:$D$23,2,FALSE)</f>
        <v>0.6</v>
      </c>
      <c r="E176" s="3">
        <f>VLOOKUP(C176,'sector-factor'!$B$2:$D$23,3,FALSE)</f>
        <v>0.4</v>
      </c>
      <c r="F176" s="3" t="s">
        <v>14</v>
      </c>
      <c r="G176" s="3">
        <f t="shared" si="4"/>
        <v>50</v>
      </c>
      <c r="H176" s="4" t="s">
        <v>15</v>
      </c>
      <c r="I176" s="5">
        <v>67.5</v>
      </c>
      <c r="J176" s="6" t="s">
        <v>11</v>
      </c>
      <c r="K176" s="16">
        <f t="shared" si="5"/>
        <v>57</v>
      </c>
    </row>
    <row r="177" spans="1:11" ht="20.149999999999999" customHeight="1">
      <c r="A177" s="3">
        <v>176</v>
      </c>
      <c r="B177" s="4" t="s">
        <v>214</v>
      </c>
      <c r="C177" s="4" t="s">
        <v>37</v>
      </c>
      <c r="D177" s="3">
        <f>VLOOKUP(C177,'sector-factor'!$B$2:$D$23,2,FALSE)</f>
        <v>0.7</v>
      </c>
      <c r="E177" s="3">
        <f>VLOOKUP(C177,'sector-factor'!$B$2:$D$23,3,FALSE)</f>
        <v>0.3</v>
      </c>
      <c r="F177" s="3" t="s">
        <v>19</v>
      </c>
      <c r="G177" s="3">
        <f t="shared" si="4"/>
        <v>30</v>
      </c>
      <c r="H177" s="4" t="s">
        <v>20</v>
      </c>
      <c r="I177" s="5">
        <v>56.375</v>
      </c>
      <c r="J177" s="6" t="s">
        <v>11</v>
      </c>
      <c r="K177" s="16">
        <f t="shared" si="5"/>
        <v>37.912499999999994</v>
      </c>
    </row>
    <row r="178" spans="1:11" ht="20.149999999999999" customHeight="1">
      <c r="A178" s="3">
        <v>177</v>
      </c>
      <c r="B178" s="4" t="s">
        <v>215</v>
      </c>
      <c r="C178" s="4" t="s">
        <v>43</v>
      </c>
      <c r="D178" s="3">
        <f>VLOOKUP(C178,'sector-factor'!$B$2:$D$23,2,FALSE)</f>
        <v>0.75</v>
      </c>
      <c r="E178" s="3">
        <f>VLOOKUP(C178,'sector-factor'!$B$2:$D$23,3,FALSE)</f>
        <v>0.25</v>
      </c>
      <c r="F178" s="3" t="s">
        <v>14</v>
      </c>
      <c r="G178" s="3">
        <f t="shared" si="4"/>
        <v>50</v>
      </c>
      <c r="H178" s="4" t="s">
        <v>15</v>
      </c>
      <c r="I178" s="5">
        <v>77.75</v>
      </c>
      <c r="J178" s="6" t="s">
        <v>41</v>
      </c>
      <c r="K178" s="16">
        <f t="shared" si="5"/>
        <v>56.9375</v>
      </c>
    </row>
    <row r="179" spans="1:11" ht="20.149999999999999" customHeight="1">
      <c r="A179" s="3">
        <v>178</v>
      </c>
      <c r="B179" s="4" t="s">
        <v>216</v>
      </c>
      <c r="C179" s="4" t="s">
        <v>13</v>
      </c>
      <c r="D179" s="3">
        <f>VLOOKUP(C179,'sector-factor'!$B$2:$D$23,2,FALSE)</f>
        <v>0.6</v>
      </c>
      <c r="E179" s="3">
        <f>VLOOKUP(C179,'sector-factor'!$B$2:$D$23,3,FALSE)</f>
        <v>0.4</v>
      </c>
      <c r="F179" s="3" t="s">
        <v>9</v>
      </c>
      <c r="G179" s="3">
        <f t="shared" si="4"/>
        <v>70</v>
      </c>
      <c r="H179" s="4" t="s">
        <v>10</v>
      </c>
      <c r="I179" s="5">
        <v>74.75</v>
      </c>
      <c r="J179" s="6" t="s">
        <v>11</v>
      </c>
      <c r="K179" s="16">
        <f t="shared" si="5"/>
        <v>71.900000000000006</v>
      </c>
    </row>
    <row r="180" spans="1:11" ht="20.149999999999999" customHeight="1">
      <c r="A180" s="3">
        <v>179</v>
      </c>
      <c r="B180" s="4" t="s">
        <v>217</v>
      </c>
      <c r="C180" s="4" t="s">
        <v>13</v>
      </c>
      <c r="D180" s="3">
        <f>VLOOKUP(C180,'sector-factor'!$B$2:$D$23,2,FALSE)</f>
        <v>0.6</v>
      </c>
      <c r="E180" s="3">
        <f>VLOOKUP(C180,'sector-factor'!$B$2:$D$23,3,FALSE)</f>
        <v>0.4</v>
      </c>
      <c r="F180" s="3" t="s">
        <v>14</v>
      </c>
      <c r="G180" s="3">
        <f t="shared" si="4"/>
        <v>50</v>
      </c>
      <c r="H180" s="4" t="s">
        <v>15</v>
      </c>
      <c r="I180" s="5">
        <v>80</v>
      </c>
      <c r="J180" s="6" t="s">
        <v>41</v>
      </c>
      <c r="K180" s="16">
        <f t="shared" si="5"/>
        <v>62</v>
      </c>
    </row>
    <row r="181" spans="1:11" ht="20.149999999999999" customHeight="1">
      <c r="A181" s="3">
        <v>180</v>
      </c>
      <c r="B181" s="4" t="s">
        <v>218</v>
      </c>
      <c r="C181" s="4" t="s">
        <v>45</v>
      </c>
      <c r="D181" s="3">
        <f>VLOOKUP(C181,'sector-factor'!$B$2:$D$23,2,FALSE)</f>
        <v>0.65</v>
      </c>
      <c r="E181" s="3">
        <f>VLOOKUP(C181,'sector-factor'!$B$2:$D$23,3,FALSE)</f>
        <v>0.35</v>
      </c>
      <c r="F181" s="3" t="s">
        <v>19</v>
      </c>
      <c r="G181" s="3">
        <f t="shared" si="4"/>
        <v>30</v>
      </c>
      <c r="H181" s="4" t="s">
        <v>20</v>
      </c>
      <c r="I181" s="5">
        <v>74</v>
      </c>
      <c r="J181" s="6" t="s">
        <v>11</v>
      </c>
      <c r="K181" s="16">
        <f t="shared" si="5"/>
        <v>45.4</v>
      </c>
    </row>
    <row r="182" spans="1:11" ht="20.149999999999999" customHeight="1">
      <c r="A182" s="3">
        <v>181</v>
      </c>
      <c r="B182" s="4" t="s">
        <v>219</v>
      </c>
      <c r="C182" s="4" t="s">
        <v>37</v>
      </c>
      <c r="D182" s="3">
        <f>VLOOKUP(C182,'sector-factor'!$B$2:$D$23,2,FALSE)</f>
        <v>0.7</v>
      </c>
      <c r="E182" s="3">
        <f>VLOOKUP(C182,'sector-factor'!$B$2:$D$23,3,FALSE)</f>
        <v>0.3</v>
      </c>
      <c r="F182" s="3" t="s">
        <v>39</v>
      </c>
      <c r="G182" s="3">
        <f t="shared" si="4"/>
        <v>90</v>
      </c>
      <c r="H182" s="4" t="s">
        <v>40</v>
      </c>
      <c r="I182" s="5">
        <v>77</v>
      </c>
      <c r="J182" s="6" t="s">
        <v>41</v>
      </c>
      <c r="K182" s="16">
        <f t="shared" si="5"/>
        <v>86.1</v>
      </c>
    </row>
    <row r="183" spans="1:11" ht="20.149999999999999" customHeight="1">
      <c r="A183" s="3">
        <v>182</v>
      </c>
      <c r="B183" s="4" t="s">
        <v>220</v>
      </c>
      <c r="C183" s="4" t="s">
        <v>112</v>
      </c>
      <c r="D183" s="3">
        <f>VLOOKUP(C183,'sector-factor'!$B$2:$D$23,2,FALSE)</f>
        <v>0.55000000000000004</v>
      </c>
      <c r="E183" s="3">
        <f>VLOOKUP(C183,'sector-factor'!$B$2:$D$23,3,FALSE)</f>
        <v>0.45</v>
      </c>
      <c r="F183" s="3" t="s">
        <v>9</v>
      </c>
      <c r="G183" s="3">
        <f t="shared" si="4"/>
        <v>70</v>
      </c>
      <c r="H183" s="4" t="s">
        <v>10</v>
      </c>
      <c r="I183" s="5">
        <v>91.25</v>
      </c>
      <c r="J183" s="6" t="s">
        <v>41</v>
      </c>
      <c r="K183" s="16">
        <f t="shared" si="5"/>
        <v>79.5625</v>
      </c>
    </row>
    <row r="184" spans="1:11" ht="20.149999999999999" customHeight="1">
      <c r="A184" s="3">
        <v>183</v>
      </c>
      <c r="B184" s="4" t="s">
        <v>221</v>
      </c>
      <c r="C184" s="4" t="s">
        <v>29</v>
      </c>
      <c r="D184" s="3">
        <f>VLOOKUP(C184,'sector-factor'!$B$2:$D$23,2,FALSE)</f>
        <v>0.65</v>
      </c>
      <c r="E184" s="3">
        <f>VLOOKUP(C184,'sector-factor'!$B$2:$D$23,3,FALSE)</f>
        <v>0.35</v>
      </c>
      <c r="F184" s="3" t="s">
        <v>14</v>
      </c>
      <c r="G184" s="3">
        <f t="shared" si="4"/>
        <v>50</v>
      </c>
      <c r="H184" s="4" t="s">
        <v>15</v>
      </c>
      <c r="I184" s="5">
        <v>50</v>
      </c>
      <c r="J184" s="6" t="s">
        <v>50</v>
      </c>
      <c r="K184" s="16">
        <f t="shared" si="5"/>
        <v>50</v>
      </c>
    </row>
    <row r="185" spans="1:11" ht="20.149999999999999" customHeight="1">
      <c r="A185" s="3">
        <v>184</v>
      </c>
      <c r="B185" s="4" t="s">
        <v>222</v>
      </c>
      <c r="C185" s="4" t="s">
        <v>37</v>
      </c>
      <c r="D185" s="3">
        <f>VLOOKUP(C185,'sector-factor'!$B$2:$D$23,2,FALSE)</f>
        <v>0.7</v>
      </c>
      <c r="E185" s="3">
        <f>VLOOKUP(C185,'sector-factor'!$B$2:$D$23,3,FALSE)</f>
        <v>0.3</v>
      </c>
      <c r="F185" s="3" t="s">
        <v>19</v>
      </c>
      <c r="G185" s="3">
        <f t="shared" si="4"/>
        <v>30</v>
      </c>
      <c r="H185" s="4" t="s">
        <v>20</v>
      </c>
      <c r="I185" s="5">
        <v>66.250000000000014</v>
      </c>
      <c r="J185" s="6" t="s">
        <v>11</v>
      </c>
      <c r="K185" s="16">
        <f t="shared" si="5"/>
        <v>40.875</v>
      </c>
    </row>
    <row r="186" spans="1:11" ht="20.149999999999999" customHeight="1">
      <c r="A186" s="3">
        <v>185</v>
      </c>
      <c r="B186" s="4" t="s">
        <v>223</v>
      </c>
      <c r="C186" s="4" t="s">
        <v>112</v>
      </c>
      <c r="D186" s="3">
        <f>VLOOKUP(C186,'sector-factor'!$B$2:$D$23,2,FALSE)</f>
        <v>0.55000000000000004</v>
      </c>
      <c r="E186" s="3">
        <f>VLOOKUP(C186,'sector-factor'!$B$2:$D$23,3,FALSE)</f>
        <v>0.45</v>
      </c>
      <c r="F186" s="3" t="s">
        <v>14</v>
      </c>
      <c r="G186" s="3">
        <f t="shared" si="4"/>
        <v>50</v>
      </c>
      <c r="H186" s="4" t="s">
        <v>15</v>
      </c>
      <c r="I186" s="5">
        <v>77.25</v>
      </c>
      <c r="J186" s="6" t="s">
        <v>41</v>
      </c>
      <c r="K186" s="16">
        <f t="shared" si="5"/>
        <v>62.262500000000003</v>
      </c>
    </row>
    <row r="187" spans="1:11" ht="20.149999999999999" customHeight="1">
      <c r="A187" s="3">
        <v>186</v>
      </c>
      <c r="B187" s="4" t="s">
        <v>224</v>
      </c>
      <c r="C187" s="4" t="s">
        <v>45</v>
      </c>
      <c r="D187" s="3">
        <f>VLOOKUP(C187,'sector-factor'!$B$2:$D$23,2,FALSE)</f>
        <v>0.65</v>
      </c>
      <c r="E187" s="3">
        <f>VLOOKUP(C187,'sector-factor'!$B$2:$D$23,3,FALSE)</f>
        <v>0.35</v>
      </c>
      <c r="F187" s="3" t="s">
        <v>19</v>
      </c>
      <c r="G187" s="3">
        <f t="shared" si="4"/>
        <v>30</v>
      </c>
      <c r="H187" s="4" t="s">
        <v>20</v>
      </c>
      <c r="I187" s="5">
        <v>71.249999999999986</v>
      </c>
      <c r="J187" s="6" t="s">
        <v>11</v>
      </c>
      <c r="K187" s="16">
        <f t="shared" si="5"/>
        <v>44.437499999999993</v>
      </c>
    </row>
    <row r="188" spans="1:11" ht="20.149999999999999" customHeight="1">
      <c r="A188" s="3">
        <v>187</v>
      </c>
      <c r="B188" s="4" t="s">
        <v>225</v>
      </c>
      <c r="C188" s="4" t="s">
        <v>29</v>
      </c>
      <c r="D188" s="3">
        <f>VLOOKUP(C188,'sector-factor'!$B$2:$D$23,2,FALSE)</f>
        <v>0.65</v>
      </c>
      <c r="E188" s="3">
        <f>VLOOKUP(C188,'sector-factor'!$B$2:$D$23,3,FALSE)</f>
        <v>0.35</v>
      </c>
      <c r="F188" s="3" t="s">
        <v>19</v>
      </c>
      <c r="G188" s="3">
        <f t="shared" si="4"/>
        <v>30</v>
      </c>
      <c r="H188" s="4" t="s">
        <v>20</v>
      </c>
      <c r="I188" s="5">
        <v>39.875</v>
      </c>
      <c r="J188" s="6" t="s">
        <v>50</v>
      </c>
      <c r="K188" s="16">
        <f t="shared" si="5"/>
        <v>33.456249999999997</v>
      </c>
    </row>
    <row r="189" spans="1:11" ht="20.149999999999999" customHeight="1">
      <c r="A189" s="3">
        <v>188</v>
      </c>
      <c r="B189" s="4" t="s">
        <v>226</v>
      </c>
      <c r="C189" s="4" t="s">
        <v>37</v>
      </c>
      <c r="D189" s="3">
        <f>VLOOKUP(C189,'sector-factor'!$B$2:$D$23,2,FALSE)</f>
        <v>0.7</v>
      </c>
      <c r="E189" s="3">
        <f>VLOOKUP(C189,'sector-factor'!$B$2:$D$23,3,FALSE)</f>
        <v>0.3</v>
      </c>
      <c r="F189" s="3" t="s">
        <v>14</v>
      </c>
      <c r="G189" s="3">
        <f t="shared" si="4"/>
        <v>50</v>
      </c>
      <c r="H189" s="4" t="s">
        <v>15</v>
      </c>
      <c r="I189" s="5">
        <v>65.250000000000014</v>
      </c>
      <c r="J189" s="6" t="s">
        <v>11</v>
      </c>
      <c r="K189" s="16">
        <f t="shared" si="5"/>
        <v>54.575000000000003</v>
      </c>
    </row>
    <row r="190" spans="1:11" ht="20.149999999999999" customHeight="1">
      <c r="A190" s="3">
        <v>189</v>
      </c>
      <c r="B190" s="4" t="s">
        <v>227</v>
      </c>
      <c r="C190" s="4" t="s">
        <v>37</v>
      </c>
      <c r="D190" s="3">
        <f>VLOOKUP(C190,'sector-factor'!$B$2:$D$23,2,FALSE)</f>
        <v>0.7</v>
      </c>
      <c r="E190" s="3">
        <f>VLOOKUP(C190,'sector-factor'!$B$2:$D$23,3,FALSE)</f>
        <v>0.3</v>
      </c>
      <c r="F190" s="3" t="s">
        <v>14</v>
      </c>
      <c r="G190" s="3">
        <f t="shared" si="4"/>
        <v>50</v>
      </c>
      <c r="H190" s="4" t="s">
        <v>15</v>
      </c>
      <c r="I190" s="5">
        <v>67.375</v>
      </c>
      <c r="J190" s="6" t="s">
        <v>11</v>
      </c>
      <c r="K190" s="16">
        <f t="shared" si="5"/>
        <v>55.212499999999999</v>
      </c>
    </row>
    <row r="191" spans="1:11" ht="20.149999999999999" customHeight="1">
      <c r="A191" s="3">
        <v>190</v>
      </c>
      <c r="B191" s="4" t="s">
        <v>228</v>
      </c>
      <c r="C191" s="4" t="s">
        <v>26</v>
      </c>
      <c r="D191" s="3">
        <f>VLOOKUP(C191,'sector-factor'!$B$2:$D$23,2,FALSE)</f>
        <v>0.3</v>
      </c>
      <c r="E191" s="3">
        <f>VLOOKUP(C191,'sector-factor'!$B$2:$D$23,3,FALSE)</f>
        <v>0.7</v>
      </c>
      <c r="F191" s="3" t="s">
        <v>19</v>
      </c>
      <c r="G191" s="3">
        <f t="shared" si="4"/>
        <v>30</v>
      </c>
      <c r="H191" s="4" t="s">
        <v>20</v>
      </c>
      <c r="I191" s="5">
        <v>75</v>
      </c>
      <c r="J191" s="6" t="s">
        <v>41</v>
      </c>
      <c r="K191" s="16">
        <f t="shared" si="5"/>
        <v>61.5</v>
      </c>
    </row>
    <row r="192" spans="1:11" ht="20.149999999999999" customHeight="1">
      <c r="A192" s="3">
        <v>191</v>
      </c>
      <c r="B192" s="4" t="s">
        <v>229</v>
      </c>
      <c r="C192" s="4" t="s">
        <v>37</v>
      </c>
      <c r="D192" s="3">
        <f>VLOOKUP(C192,'sector-factor'!$B$2:$D$23,2,FALSE)</f>
        <v>0.7</v>
      </c>
      <c r="E192" s="3">
        <f>VLOOKUP(C192,'sector-factor'!$B$2:$D$23,3,FALSE)</f>
        <v>0.3</v>
      </c>
      <c r="F192" s="3" t="s">
        <v>14</v>
      </c>
      <c r="G192" s="3">
        <f t="shared" si="4"/>
        <v>50</v>
      </c>
      <c r="H192" s="4" t="s">
        <v>15</v>
      </c>
      <c r="I192" s="5">
        <v>50</v>
      </c>
      <c r="J192" s="6" t="s">
        <v>50</v>
      </c>
      <c r="K192" s="16">
        <f t="shared" si="5"/>
        <v>50</v>
      </c>
    </row>
    <row r="193" spans="1:11" ht="20.149999999999999" customHeight="1">
      <c r="A193" s="3">
        <v>192</v>
      </c>
      <c r="B193" s="4" t="s">
        <v>230</v>
      </c>
      <c r="C193" s="4" t="s">
        <v>8</v>
      </c>
      <c r="D193" s="3">
        <f>VLOOKUP(C193,'sector-factor'!$B$2:$D$23,2,FALSE)</f>
        <v>0.6</v>
      </c>
      <c r="E193" s="3">
        <f>VLOOKUP(C193,'sector-factor'!$B$2:$D$23,3,FALSE)</f>
        <v>0.4</v>
      </c>
      <c r="F193" s="3" t="s">
        <v>9</v>
      </c>
      <c r="G193" s="3">
        <f t="shared" si="4"/>
        <v>70</v>
      </c>
      <c r="H193" s="4" t="s">
        <v>10</v>
      </c>
      <c r="I193" s="5">
        <v>74.5</v>
      </c>
      <c r="J193" s="6" t="s">
        <v>11</v>
      </c>
      <c r="K193" s="16">
        <f t="shared" si="5"/>
        <v>71.8</v>
      </c>
    </row>
    <row r="194" spans="1:11" ht="20.149999999999999" customHeight="1">
      <c r="A194" s="7">
        <v>193</v>
      </c>
      <c r="B194" s="8" t="s">
        <v>231</v>
      </c>
      <c r="C194" s="8" t="s">
        <v>8</v>
      </c>
      <c r="D194" s="3">
        <f>VLOOKUP(C194,'sector-factor'!$B$2:$D$23,2,FALSE)</f>
        <v>0.6</v>
      </c>
      <c r="E194" s="3">
        <f>VLOOKUP(C194,'sector-factor'!$B$2:$D$23,3,FALSE)</f>
        <v>0.4</v>
      </c>
      <c r="F194" s="7" t="s">
        <v>19</v>
      </c>
      <c r="G194" s="3">
        <f t="shared" si="4"/>
        <v>30</v>
      </c>
      <c r="H194" s="8" t="s">
        <v>20</v>
      </c>
      <c r="I194" s="9">
        <v>55.999999999999993</v>
      </c>
      <c r="J194" s="10" t="s">
        <v>11</v>
      </c>
      <c r="K194" s="16">
        <f t="shared" si="5"/>
        <v>40.4</v>
      </c>
    </row>
    <row r="195" spans="1:11" ht="20.149999999999999" customHeight="1"/>
    <row r="196" spans="1:11" ht="20.149999999999999" customHeight="1"/>
    <row r="197" spans="1:11" ht="20.149999999999999" customHeight="1"/>
    <row r="198" spans="1:11" ht="20.149999999999999" customHeight="1"/>
    <row r="199" spans="1:11" ht="20.149999999999999" customHeight="1"/>
    <row r="200" spans="1:11" ht="20.149999999999999" customHeight="1"/>
    <row r="201" spans="1:11" ht="20.149999999999999" customHeight="1"/>
    <row r="202" spans="1:11" ht="20.149999999999999" customHeight="1"/>
  </sheetData>
  <autoFilter ref="A1:J194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CC53-5E57-4EAB-8579-F744A00D789B}">
  <dimension ref="A1:D23"/>
  <sheetViews>
    <sheetView workbookViewId="0">
      <selection activeCell="B5" sqref="B5"/>
    </sheetView>
  </sheetViews>
  <sheetFormatPr defaultRowHeight="14.5"/>
  <cols>
    <col min="1" max="1" width="8.26953125" style="15" customWidth="1"/>
    <col min="2" max="2" width="22" customWidth="1"/>
    <col min="3" max="3" width="14.54296875" customWidth="1"/>
    <col min="4" max="4" width="13.81640625" customWidth="1"/>
  </cols>
  <sheetData>
    <row r="1" spans="1:4">
      <c r="A1" s="11" t="s">
        <v>232</v>
      </c>
      <c r="B1" s="11" t="s">
        <v>233</v>
      </c>
      <c r="C1" s="11" t="s">
        <v>234</v>
      </c>
      <c r="D1" s="11" t="s">
        <v>235</v>
      </c>
    </row>
    <row r="2" spans="1:4">
      <c r="A2" s="12">
        <v>1</v>
      </c>
      <c r="B2" s="13" t="s">
        <v>37</v>
      </c>
      <c r="C2" s="14">
        <v>0.7</v>
      </c>
      <c r="D2" s="14">
        <v>0.3</v>
      </c>
    </row>
    <row r="3" spans="1:4" ht="29">
      <c r="A3" s="12">
        <v>2</v>
      </c>
      <c r="B3" s="13" t="s">
        <v>35</v>
      </c>
      <c r="C3" s="14">
        <v>0.6</v>
      </c>
      <c r="D3" s="14">
        <v>0.4</v>
      </c>
    </row>
    <row r="4" spans="1:4" ht="29">
      <c r="A4" s="12">
        <v>3</v>
      </c>
      <c r="B4" s="13" t="s">
        <v>8</v>
      </c>
      <c r="C4" s="14">
        <v>0.6</v>
      </c>
      <c r="D4" s="14">
        <v>0.4</v>
      </c>
    </row>
    <row r="5" spans="1:4" ht="29">
      <c r="A5" s="12">
        <v>4</v>
      </c>
      <c r="B5" s="13" t="s">
        <v>13</v>
      </c>
      <c r="C5" s="14">
        <v>0.6</v>
      </c>
      <c r="D5" s="14">
        <v>0.4</v>
      </c>
    </row>
    <row r="6" spans="1:4" ht="29">
      <c r="A6" s="12">
        <v>5</v>
      </c>
      <c r="B6" s="13" t="s">
        <v>171</v>
      </c>
      <c r="C6" s="14">
        <v>0.5</v>
      </c>
      <c r="D6" s="14">
        <v>0.5</v>
      </c>
    </row>
    <row r="7" spans="1:4">
      <c r="A7" s="12">
        <v>6</v>
      </c>
      <c r="B7" s="13" t="s">
        <v>29</v>
      </c>
      <c r="C7" s="14">
        <v>0.65</v>
      </c>
      <c r="D7" s="14">
        <v>0.35</v>
      </c>
    </row>
    <row r="8" spans="1:4">
      <c r="A8" s="12">
        <v>7</v>
      </c>
      <c r="B8" s="13" t="s">
        <v>26</v>
      </c>
      <c r="C8" s="14">
        <v>0.3</v>
      </c>
      <c r="D8" s="14">
        <v>0.7</v>
      </c>
    </row>
    <row r="9" spans="1:4">
      <c r="A9" s="12">
        <v>8</v>
      </c>
      <c r="B9" s="13" t="s">
        <v>45</v>
      </c>
      <c r="C9" s="14">
        <v>0.65</v>
      </c>
      <c r="D9" s="14">
        <v>0.35</v>
      </c>
    </row>
    <row r="10" spans="1:4">
      <c r="A10" s="12">
        <v>9</v>
      </c>
      <c r="B10" s="13" t="s">
        <v>236</v>
      </c>
      <c r="C10" s="14">
        <v>0.4</v>
      </c>
      <c r="D10" s="14">
        <v>0.6</v>
      </c>
    </row>
    <row r="11" spans="1:4">
      <c r="A11" s="12">
        <v>10</v>
      </c>
      <c r="B11" s="13" t="s">
        <v>23</v>
      </c>
      <c r="C11" s="14">
        <v>0.3</v>
      </c>
      <c r="D11" s="14">
        <v>0.7</v>
      </c>
    </row>
    <row r="12" spans="1:4" ht="29">
      <c r="A12" s="12">
        <v>11</v>
      </c>
      <c r="B12" s="13" t="s">
        <v>74</v>
      </c>
      <c r="C12" s="14">
        <v>0.5</v>
      </c>
      <c r="D12" s="14">
        <v>0.5</v>
      </c>
    </row>
    <row r="13" spans="1:4">
      <c r="A13" s="12">
        <v>12</v>
      </c>
      <c r="B13" s="13" t="s">
        <v>43</v>
      </c>
      <c r="C13" s="14">
        <v>0.75</v>
      </c>
      <c r="D13" s="14">
        <v>0.25</v>
      </c>
    </row>
    <row r="14" spans="1:4">
      <c r="A14" s="12">
        <v>13</v>
      </c>
      <c r="B14" s="13" t="s">
        <v>158</v>
      </c>
      <c r="C14" s="14">
        <v>0.55000000000000004</v>
      </c>
      <c r="D14" s="14">
        <v>0.45</v>
      </c>
    </row>
    <row r="15" spans="1:4">
      <c r="A15" s="12">
        <v>14</v>
      </c>
      <c r="B15" s="13" t="s">
        <v>65</v>
      </c>
      <c r="C15" s="14">
        <v>0.35</v>
      </c>
      <c r="D15" s="14">
        <v>0.65</v>
      </c>
    </row>
    <row r="16" spans="1:4">
      <c r="A16" s="12">
        <v>15</v>
      </c>
      <c r="B16" s="13" t="s">
        <v>18</v>
      </c>
      <c r="C16" s="14">
        <v>0.7</v>
      </c>
      <c r="D16" s="14">
        <v>0.3</v>
      </c>
    </row>
    <row r="17" spans="1:4">
      <c r="A17" s="12">
        <v>16</v>
      </c>
      <c r="B17" s="13" t="s">
        <v>96</v>
      </c>
      <c r="C17" s="14">
        <v>0.4</v>
      </c>
      <c r="D17" s="14">
        <v>0.6</v>
      </c>
    </row>
    <row r="18" spans="1:4" ht="29">
      <c r="A18" s="12">
        <v>17</v>
      </c>
      <c r="B18" s="13" t="s">
        <v>112</v>
      </c>
      <c r="C18" s="14">
        <v>0.55000000000000004</v>
      </c>
      <c r="D18" s="14">
        <v>0.45</v>
      </c>
    </row>
    <row r="19" spans="1:4" ht="29">
      <c r="A19" s="12">
        <v>18</v>
      </c>
      <c r="B19" s="13" t="s">
        <v>194</v>
      </c>
      <c r="C19" s="14">
        <v>0.65</v>
      </c>
      <c r="D19" s="14">
        <v>0.35</v>
      </c>
    </row>
    <row r="20" spans="1:4" ht="43.5">
      <c r="A20" s="12">
        <v>19</v>
      </c>
      <c r="B20" s="13" t="s">
        <v>114</v>
      </c>
      <c r="C20" s="14">
        <v>0.5</v>
      </c>
      <c r="D20" s="14">
        <v>0.5</v>
      </c>
    </row>
    <row r="21" spans="1:4" ht="29">
      <c r="A21" s="12">
        <v>20</v>
      </c>
      <c r="B21" s="13" t="s">
        <v>123</v>
      </c>
      <c r="C21" s="14">
        <v>0.45</v>
      </c>
      <c r="D21" s="14">
        <v>0.55000000000000004</v>
      </c>
    </row>
    <row r="22" spans="1:4" ht="29">
      <c r="A22" s="12">
        <v>21</v>
      </c>
      <c r="B22" s="13" t="s">
        <v>237</v>
      </c>
      <c r="C22" s="14">
        <v>0.6</v>
      </c>
      <c r="D22" s="14">
        <v>0.4</v>
      </c>
    </row>
    <row r="23" spans="1:4" ht="29">
      <c r="A23" s="12">
        <v>22</v>
      </c>
      <c r="B23" s="13" t="s">
        <v>238</v>
      </c>
      <c r="C23" s="14">
        <v>0.45</v>
      </c>
      <c r="D23" s="14">
        <v>0.55000000000000004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45C4-74C8-44C1-A52A-F09D75E01E85}">
  <dimension ref="A1:F202"/>
  <sheetViews>
    <sheetView workbookViewId="0">
      <selection activeCell="F2" sqref="F2"/>
    </sheetView>
  </sheetViews>
  <sheetFormatPr defaultRowHeight="14.5"/>
  <cols>
    <col min="1" max="1" width="8" customWidth="1"/>
    <col min="2" max="2" width="15" customWidth="1"/>
    <col min="3" max="3" width="25" customWidth="1"/>
    <col min="4" max="4" width="15.7265625" customWidth="1"/>
    <col min="5" max="5" width="25" customWidth="1"/>
    <col min="6" max="6" width="29.90625" customWidth="1"/>
  </cols>
  <sheetData>
    <row r="1" spans="1:6" ht="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5</v>
      </c>
      <c r="F1" s="2" t="s">
        <v>240</v>
      </c>
    </row>
    <row r="2" spans="1:6" ht="20.149999999999999" customHeight="1">
      <c r="A2" s="3">
        <v>1</v>
      </c>
      <c r="B2" s="4" t="s">
        <v>124</v>
      </c>
      <c r="C2" s="4" t="s">
        <v>37</v>
      </c>
      <c r="D2" s="3" t="s">
        <v>14</v>
      </c>
      <c r="E2" s="5">
        <v>63.875000000000007</v>
      </c>
      <c r="F2" s="16">
        <v>54.162500000000001</v>
      </c>
    </row>
    <row r="3" spans="1:6" ht="20.149999999999999" customHeight="1">
      <c r="A3" s="3">
        <v>2</v>
      </c>
      <c r="B3" s="4" t="s">
        <v>60</v>
      </c>
      <c r="C3" s="4" t="s">
        <v>23</v>
      </c>
      <c r="D3" s="3" t="s">
        <v>14</v>
      </c>
      <c r="E3" s="5">
        <v>54.500000000000007</v>
      </c>
      <c r="F3" s="16">
        <v>53.150000000000006</v>
      </c>
    </row>
    <row r="4" spans="1:6" ht="20.149999999999999" customHeight="1">
      <c r="A4" s="3">
        <v>3</v>
      </c>
      <c r="B4" s="4" t="s">
        <v>169</v>
      </c>
      <c r="C4" s="4" t="s">
        <v>26</v>
      </c>
      <c r="D4" s="3" t="s">
        <v>14</v>
      </c>
      <c r="E4" s="5">
        <v>78.375</v>
      </c>
      <c r="F4" s="16">
        <v>69.862499999999997</v>
      </c>
    </row>
    <row r="5" spans="1:6" ht="20.149999999999999" customHeight="1">
      <c r="A5" s="3">
        <v>4</v>
      </c>
      <c r="B5" s="4" t="s">
        <v>140</v>
      </c>
      <c r="C5" s="4" t="s">
        <v>26</v>
      </c>
      <c r="D5" s="3" t="s">
        <v>9</v>
      </c>
      <c r="E5" s="5">
        <v>85.75</v>
      </c>
      <c r="F5" s="16">
        <v>81.025000000000006</v>
      </c>
    </row>
    <row r="6" spans="1:6" ht="20.149999999999999" customHeight="1">
      <c r="A6" s="3">
        <v>5</v>
      </c>
      <c r="B6" s="4" t="s">
        <v>218</v>
      </c>
      <c r="C6" s="4" t="s">
        <v>45</v>
      </c>
      <c r="D6" s="3" t="s">
        <v>19</v>
      </c>
      <c r="E6" s="5">
        <v>74</v>
      </c>
      <c r="F6" s="16">
        <v>45.4</v>
      </c>
    </row>
    <row r="7" spans="1:6" ht="20.149999999999999" customHeight="1">
      <c r="A7" s="3">
        <v>6</v>
      </c>
      <c r="B7" s="4" t="s">
        <v>209</v>
      </c>
      <c r="C7" s="4" t="s">
        <v>13</v>
      </c>
      <c r="D7" s="3" t="s">
        <v>9</v>
      </c>
      <c r="E7" s="5">
        <v>71</v>
      </c>
      <c r="F7" s="16">
        <v>70.400000000000006</v>
      </c>
    </row>
    <row r="8" spans="1:6" ht="20.149999999999999" customHeight="1">
      <c r="A8" s="3">
        <v>7</v>
      </c>
      <c r="B8" s="4" t="s">
        <v>58</v>
      </c>
      <c r="C8" s="4" t="s">
        <v>23</v>
      </c>
      <c r="D8" s="3" t="s">
        <v>14</v>
      </c>
      <c r="E8" s="5">
        <v>51.749999999999993</v>
      </c>
      <c r="F8" s="16">
        <v>51.224999999999994</v>
      </c>
    </row>
    <row r="9" spans="1:6" ht="20.149999999999999" customHeight="1">
      <c r="A9" s="3">
        <v>8</v>
      </c>
      <c r="B9" s="4" t="s">
        <v>34</v>
      </c>
      <c r="C9" s="4" t="s">
        <v>35</v>
      </c>
      <c r="D9" s="3" t="s">
        <v>19</v>
      </c>
      <c r="E9" s="5">
        <v>71.75</v>
      </c>
      <c r="F9" s="16">
        <v>46.7</v>
      </c>
    </row>
    <row r="10" spans="1:6" ht="20.149999999999999" customHeight="1">
      <c r="A10" s="3">
        <v>9</v>
      </c>
      <c r="B10" s="4" t="s">
        <v>164</v>
      </c>
      <c r="C10" s="4" t="s">
        <v>37</v>
      </c>
      <c r="D10" s="3" t="s">
        <v>19</v>
      </c>
      <c r="E10" s="5">
        <v>70.5</v>
      </c>
      <c r="F10" s="16">
        <v>42.15</v>
      </c>
    </row>
    <row r="11" spans="1:6" ht="20.149999999999999" customHeight="1">
      <c r="A11" s="3">
        <v>10</v>
      </c>
      <c r="B11" s="4" t="s">
        <v>21</v>
      </c>
      <c r="C11" s="4" t="s">
        <v>13</v>
      </c>
      <c r="D11" s="3" t="s">
        <v>19</v>
      </c>
      <c r="E11" s="5">
        <v>67.125</v>
      </c>
      <c r="F11" s="16">
        <v>44.85</v>
      </c>
    </row>
    <row r="12" spans="1:6" ht="20.149999999999999" customHeight="1">
      <c r="A12" s="3">
        <v>11</v>
      </c>
      <c r="B12" s="4" t="s">
        <v>25</v>
      </c>
      <c r="C12" s="4" t="s">
        <v>26</v>
      </c>
      <c r="D12" s="3" t="s">
        <v>19</v>
      </c>
      <c r="E12" s="5">
        <v>58.875</v>
      </c>
      <c r="F12" s="16">
        <v>50.212499999999999</v>
      </c>
    </row>
    <row r="13" spans="1:6" ht="20.149999999999999" customHeight="1">
      <c r="A13" s="3">
        <v>12</v>
      </c>
      <c r="B13" s="4" t="s">
        <v>86</v>
      </c>
      <c r="C13" s="18" t="s">
        <v>35</v>
      </c>
      <c r="D13" s="3" t="s">
        <v>14</v>
      </c>
      <c r="E13" s="5">
        <v>68.5</v>
      </c>
      <c r="F13" s="16">
        <v>57.400000000000006</v>
      </c>
    </row>
    <row r="14" spans="1:6" ht="20.149999999999999" customHeight="1">
      <c r="A14" s="3">
        <v>13</v>
      </c>
      <c r="B14" s="4" t="s">
        <v>201</v>
      </c>
      <c r="C14" s="4" t="s">
        <v>13</v>
      </c>
      <c r="D14" s="3" t="s">
        <v>9</v>
      </c>
      <c r="E14" s="5">
        <v>76.75</v>
      </c>
      <c r="F14" s="16">
        <v>72.7</v>
      </c>
    </row>
    <row r="15" spans="1:6" ht="20.149999999999999" customHeight="1">
      <c r="A15" s="3">
        <v>14</v>
      </c>
      <c r="B15" s="4" t="s">
        <v>229</v>
      </c>
      <c r="C15" s="4" t="s">
        <v>37</v>
      </c>
      <c r="D15" s="3" t="s">
        <v>14</v>
      </c>
      <c r="E15" s="5">
        <v>50</v>
      </c>
      <c r="F15" s="16">
        <v>50</v>
      </c>
    </row>
    <row r="16" spans="1:6" ht="20.149999999999999" customHeight="1">
      <c r="A16" s="3">
        <v>15</v>
      </c>
      <c r="B16" s="4" t="s">
        <v>141</v>
      </c>
      <c r="C16" s="4" t="s">
        <v>26</v>
      </c>
      <c r="D16" s="3" t="s">
        <v>9</v>
      </c>
      <c r="E16" s="5">
        <v>86.5</v>
      </c>
      <c r="F16" s="16">
        <v>81.55</v>
      </c>
    </row>
    <row r="17" spans="1:6" ht="20.149999999999999" customHeight="1">
      <c r="A17" s="3">
        <v>16</v>
      </c>
      <c r="B17" s="4" t="s">
        <v>28</v>
      </c>
      <c r="C17" s="4" t="s">
        <v>29</v>
      </c>
      <c r="D17" s="3" t="s">
        <v>14</v>
      </c>
      <c r="E17" s="5">
        <v>65.75</v>
      </c>
      <c r="F17" s="16">
        <v>55.512500000000003</v>
      </c>
    </row>
    <row r="18" spans="1:6" ht="20.149999999999999" customHeight="1">
      <c r="A18" s="3">
        <v>17</v>
      </c>
      <c r="B18" s="4" t="s">
        <v>130</v>
      </c>
      <c r="C18" s="4" t="s">
        <v>23</v>
      </c>
      <c r="D18" s="3" t="s">
        <v>9</v>
      </c>
      <c r="E18" s="5">
        <v>76.5</v>
      </c>
      <c r="F18" s="16">
        <v>74.55</v>
      </c>
    </row>
    <row r="19" spans="1:6" ht="20.149999999999999" customHeight="1">
      <c r="A19" s="3">
        <v>18</v>
      </c>
      <c r="B19" s="4" t="s">
        <v>91</v>
      </c>
      <c r="C19" s="4" t="s">
        <v>43</v>
      </c>
      <c r="D19" s="3" t="s">
        <v>19</v>
      </c>
      <c r="E19" s="5">
        <v>61.750000000000007</v>
      </c>
      <c r="F19" s="16">
        <v>37.9375</v>
      </c>
    </row>
    <row r="20" spans="1:6" ht="20.149999999999999" customHeight="1">
      <c r="A20" s="3">
        <v>19</v>
      </c>
      <c r="B20" s="4" t="s">
        <v>57</v>
      </c>
      <c r="C20" s="4" t="s">
        <v>26</v>
      </c>
      <c r="D20" s="3" t="s">
        <v>19</v>
      </c>
      <c r="E20" s="5">
        <v>54.374999999999993</v>
      </c>
      <c r="F20" s="16">
        <v>47.062499999999993</v>
      </c>
    </row>
    <row r="21" spans="1:6" ht="20.149999999999999" customHeight="1">
      <c r="A21" s="3">
        <v>20</v>
      </c>
      <c r="B21" s="4" t="s">
        <v>142</v>
      </c>
      <c r="C21" s="4" t="s">
        <v>65</v>
      </c>
      <c r="D21" s="3" t="s">
        <v>9</v>
      </c>
      <c r="E21" s="5">
        <v>75.25</v>
      </c>
      <c r="F21" s="16">
        <v>73.412499999999994</v>
      </c>
    </row>
    <row r="22" spans="1:6" ht="20.149999999999999" customHeight="1">
      <c r="A22" s="3">
        <v>21</v>
      </c>
      <c r="B22" s="4" t="s">
        <v>56</v>
      </c>
      <c r="C22" s="4" t="s">
        <v>23</v>
      </c>
      <c r="D22" s="3" t="s">
        <v>14</v>
      </c>
      <c r="E22" s="5">
        <v>64.5</v>
      </c>
      <c r="F22" s="16">
        <v>60.15</v>
      </c>
    </row>
    <row r="23" spans="1:6" ht="20.149999999999999" customHeight="1">
      <c r="A23" s="3">
        <v>22</v>
      </c>
      <c r="B23" s="4" t="s">
        <v>93</v>
      </c>
      <c r="C23" s="4" t="s">
        <v>18</v>
      </c>
      <c r="D23" s="3" t="s">
        <v>14</v>
      </c>
      <c r="E23" s="5">
        <v>68.375</v>
      </c>
      <c r="F23" s="16">
        <v>55.512500000000003</v>
      </c>
    </row>
    <row r="24" spans="1:6" ht="20.149999999999999" customHeight="1">
      <c r="A24" s="3">
        <v>23</v>
      </c>
      <c r="B24" s="4" t="s">
        <v>100</v>
      </c>
      <c r="C24" s="4" t="s">
        <v>29</v>
      </c>
      <c r="D24" s="3" t="s">
        <v>14</v>
      </c>
      <c r="E24" s="5">
        <v>64.125</v>
      </c>
      <c r="F24" s="16">
        <v>54.943749999999994</v>
      </c>
    </row>
    <row r="25" spans="1:6" ht="20.149999999999999" customHeight="1">
      <c r="A25" s="3">
        <v>24</v>
      </c>
      <c r="B25" s="4" t="s">
        <v>101</v>
      </c>
      <c r="C25" s="4" t="s">
        <v>13</v>
      </c>
      <c r="D25" s="3" t="s">
        <v>19</v>
      </c>
      <c r="E25" s="5">
        <v>61.875</v>
      </c>
      <c r="F25" s="16">
        <v>42.75</v>
      </c>
    </row>
    <row r="26" spans="1:6" ht="20.149999999999999" customHeight="1">
      <c r="A26" s="3">
        <v>25</v>
      </c>
      <c r="B26" s="4" t="s">
        <v>87</v>
      </c>
      <c r="C26" s="4" t="s">
        <v>45</v>
      </c>
      <c r="D26" s="3" t="s">
        <v>19</v>
      </c>
      <c r="E26" s="5">
        <v>61.750000000000007</v>
      </c>
      <c r="F26" s="16">
        <v>41.112499999999997</v>
      </c>
    </row>
    <row r="27" spans="1:6" ht="20.149999999999999" customHeight="1">
      <c r="A27" s="3">
        <v>26</v>
      </c>
      <c r="B27" s="4" t="s">
        <v>95</v>
      </c>
      <c r="C27" s="4" t="s">
        <v>96</v>
      </c>
      <c r="D27" s="3" t="s">
        <v>14</v>
      </c>
      <c r="E27" s="5">
        <v>70.25</v>
      </c>
      <c r="F27" s="16">
        <v>62.15</v>
      </c>
    </row>
    <row r="28" spans="1:6" ht="20.149999999999999" customHeight="1">
      <c r="A28" s="3">
        <v>27</v>
      </c>
      <c r="B28" s="4" t="s">
        <v>36</v>
      </c>
      <c r="C28" s="4" t="s">
        <v>37</v>
      </c>
      <c r="D28" s="3" t="s">
        <v>19</v>
      </c>
      <c r="E28" s="5">
        <v>71.75</v>
      </c>
      <c r="F28" s="16">
        <v>42.524999999999999</v>
      </c>
    </row>
    <row r="29" spans="1:6" ht="20.149999999999999" customHeight="1">
      <c r="A29" s="3">
        <v>28</v>
      </c>
      <c r="B29" s="4" t="s">
        <v>68</v>
      </c>
      <c r="C29" s="4" t="s">
        <v>29</v>
      </c>
      <c r="D29" s="3" t="s">
        <v>14</v>
      </c>
      <c r="E29" s="5">
        <v>61.5</v>
      </c>
      <c r="F29" s="16">
        <v>54.024999999999999</v>
      </c>
    </row>
    <row r="30" spans="1:6" ht="20.149999999999999" customHeight="1">
      <c r="A30" s="3">
        <v>29</v>
      </c>
      <c r="B30" s="4" t="s">
        <v>111</v>
      </c>
      <c r="C30" s="4" t="s">
        <v>112</v>
      </c>
      <c r="D30" s="3" t="s">
        <v>14</v>
      </c>
      <c r="E30" s="5">
        <v>59.875</v>
      </c>
      <c r="F30" s="16">
        <v>54.443750000000009</v>
      </c>
    </row>
    <row r="31" spans="1:6" ht="20.149999999999999" customHeight="1">
      <c r="A31" s="3">
        <v>30</v>
      </c>
      <c r="B31" s="4" t="s">
        <v>143</v>
      </c>
      <c r="C31" s="4" t="s">
        <v>26</v>
      </c>
      <c r="D31" s="3" t="s">
        <v>9</v>
      </c>
      <c r="E31" s="5">
        <v>92.5</v>
      </c>
      <c r="F31" s="16">
        <v>85.75</v>
      </c>
    </row>
    <row r="32" spans="1:6" ht="20.149999999999999" customHeight="1">
      <c r="A32" s="3">
        <v>31</v>
      </c>
      <c r="B32" s="4" t="s">
        <v>192</v>
      </c>
      <c r="C32" s="4" t="s">
        <v>37</v>
      </c>
      <c r="D32" s="3" t="s">
        <v>19</v>
      </c>
      <c r="E32" s="5">
        <v>73</v>
      </c>
      <c r="F32" s="16">
        <v>42.9</v>
      </c>
    </row>
    <row r="33" spans="1:6" ht="20.149999999999999" customHeight="1">
      <c r="A33" s="3">
        <v>32</v>
      </c>
      <c r="B33" s="4" t="s">
        <v>97</v>
      </c>
      <c r="C33" s="4" t="s">
        <v>29</v>
      </c>
      <c r="D33" s="3" t="s">
        <v>9</v>
      </c>
      <c r="E33" s="5">
        <v>79.5</v>
      </c>
      <c r="F33" s="16">
        <v>73.325000000000003</v>
      </c>
    </row>
    <row r="34" spans="1:6" ht="20.149999999999999" customHeight="1">
      <c r="A34" s="3">
        <v>33</v>
      </c>
      <c r="B34" s="4" t="s">
        <v>61</v>
      </c>
      <c r="C34" s="4" t="s">
        <v>23</v>
      </c>
      <c r="D34" s="3" t="s">
        <v>14</v>
      </c>
      <c r="E34" s="5">
        <v>61</v>
      </c>
      <c r="F34" s="16">
        <v>57.699999999999996</v>
      </c>
    </row>
    <row r="35" spans="1:6" ht="20.149999999999999" customHeight="1">
      <c r="A35" s="3">
        <v>34</v>
      </c>
      <c r="B35" s="4" t="s">
        <v>79</v>
      </c>
      <c r="C35" s="4" t="s">
        <v>35</v>
      </c>
      <c r="D35" s="3" t="s">
        <v>19</v>
      </c>
      <c r="E35" s="5">
        <v>50.875</v>
      </c>
      <c r="F35" s="16">
        <v>38.35</v>
      </c>
    </row>
    <row r="36" spans="1:6" ht="20.149999999999999" customHeight="1">
      <c r="A36" s="3">
        <v>35</v>
      </c>
      <c r="B36" s="4" t="s">
        <v>113</v>
      </c>
      <c r="C36" s="4" t="s">
        <v>114</v>
      </c>
      <c r="D36" s="3" t="s">
        <v>9</v>
      </c>
      <c r="E36" s="5">
        <v>65.25</v>
      </c>
      <c r="F36" s="16">
        <v>67.625</v>
      </c>
    </row>
    <row r="37" spans="1:6" ht="20.149999999999999" customHeight="1">
      <c r="A37" s="3">
        <v>36</v>
      </c>
      <c r="B37" s="4" t="s">
        <v>115</v>
      </c>
      <c r="C37" s="4" t="s">
        <v>114</v>
      </c>
      <c r="D37" s="3" t="s">
        <v>14</v>
      </c>
      <c r="E37" s="5">
        <v>61.5</v>
      </c>
      <c r="F37" s="16">
        <v>55.75</v>
      </c>
    </row>
    <row r="38" spans="1:6" ht="20.149999999999999" customHeight="1">
      <c r="A38" s="3">
        <v>37</v>
      </c>
      <c r="B38" s="4" t="s">
        <v>219</v>
      </c>
      <c r="C38" s="4" t="s">
        <v>37</v>
      </c>
      <c r="D38" s="3" t="s">
        <v>39</v>
      </c>
      <c r="E38" s="5">
        <v>77</v>
      </c>
      <c r="F38" s="16">
        <v>86.1</v>
      </c>
    </row>
    <row r="39" spans="1:6" ht="20.149999999999999" customHeight="1">
      <c r="A39" s="3">
        <v>38</v>
      </c>
      <c r="B39" s="4" t="s">
        <v>52</v>
      </c>
      <c r="C39" s="4" t="s">
        <v>37</v>
      </c>
      <c r="D39" s="3" t="s">
        <v>48</v>
      </c>
      <c r="E39" s="5">
        <v>49.5</v>
      </c>
      <c r="F39" s="16">
        <v>14.85</v>
      </c>
    </row>
    <row r="40" spans="1:6" ht="20.149999999999999" customHeight="1">
      <c r="A40" s="3">
        <v>39</v>
      </c>
      <c r="B40" s="4" t="s">
        <v>226</v>
      </c>
      <c r="C40" s="4" t="s">
        <v>37</v>
      </c>
      <c r="D40" s="3" t="s">
        <v>14</v>
      </c>
      <c r="E40" s="5">
        <v>65.250000000000014</v>
      </c>
      <c r="F40" s="16">
        <v>54.575000000000003</v>
      </c>
    </row>
    <row r="41" spans="1:6" ht="20.149999999999999" customHeight="1">
      <c r="A41" s="3">
        <v>40</v>
      </c>
      <c r="B41" s="4" t="s">
        <v>122</v>
      </c>
      <c r="C41" s="4" t="s">
        <v>123</v>
      </c>
      <c r="D41" s="3" t="s">
        <v>14</v>
      </c>
      <c r="E41" s="5">
        <v>71.5</v>
      </c>
      <c r="F41" s="16">
        <v>61.825000000000003</v>
      </c>
    </row>
    <row r="42" spans="1:6" ht="20.149999999999999" customHeight="1">
      <c r="A42" s="3">
        <v>41</v>
      </c>
      <c r="B42" s="4" t="s">
        <v>227</v>
      </c>
      <c r="C42" s="4" t="s">
        <v>37</v>
      </c>
      <c r="D42" s="3" t="s">
        <v>14</v>
      </c>
      <c r="E42" s="5">
        <v>67.375</v>
      </c>
      <c r="F42" s="16">
        <v>55.212499999999999</v>
      </c>
    </row>
    <row r="43" spans="1:6" ht="20.149999999999999" customHeight="1">
      <c r="A43" s="3">
        <v>42</v>
      </c>
      <c r="B43" s="4" t="s">
        <v>83</v>
      </c>
      <c r="C43" s="4" t="s">
        <v>29</v>
      </c>
      <c r="D43" s="3" t="s">
        <v>14</v>
      </c>
      <c r="E43" s="5">
        <v>73.75</v>
      </c>
      <c r="F43" s="16">
        <v>58.3125</v>
      </c>
    </row>
    <row r="44" spans="1:6" ht="20.149999999999999" customHeight="1">
      <c r="A44" s="3">
        <v>43</v>
      </c>
      <c r="B44" s="4" t="s">
        <v>116</v>
      </c>
      <c r="C44" s="4" t="s">
        <v>37</v>
      </c>
      <c r="D44" s="3" t="s">
        <v>14</v>
      </c>
      <c r="E44" s="5">
        <v>61.5</v>
      </c>
      <c r="F44" s="16">
        <v>53.45</v>
      </c>
    </row>
    <row r="45" spans="1:6" ht="20.149999999999999" customHeight="1">
      <c r="A45" s="3">
        <v>44</v>
      </c>
      <c r="B45" s="4" t="s">
        <v>225</v>
      </c>
      <c r="C45" s="4" t="s">
        <v>29</v>
      </c>
      <c r="D45" s="3" t="s">
        <v>19</v>
      </c>
      <c r="E45" s="5">
        <v>39.875</v>
      </c>
      <c r="F45" s="16">
        <v>33.456249999999997</v>
      </c>
    </row>
    <row r="46" spans="1:6" ht="20.149999999999999" customHeight="1">
      <c r="A46" s="3">
        <v>45</v>
      </c>
      <c r="B46" s="4" t="s">
        <v>182</v>
      </c>
      <c r="C46" s="18" t="s">
        <v>37</v>
      </c>
      <c r="D46" s="3" t="s">
        <v>14</v>
      </c>
      <c r="E46" s="5">
        <v>78.75</v>
      </c>
      <c r="F46" s="16">
        <v>58.625</v>
      </c>
    </row>
    <row r="47" spans="1:6" ht="20.149999999999999" customHeight="1">
      <c r="A47" s="3">
        <v>46</v>
      </c>
      <c r="B47" s="4" t="s">
        <v>193</v>
      </c>
      <c r="C47" s="4" t="s">
        <v>194</v>
      </c>
      <c r="D47" s="3" t="s">
        <v>14</v>
      </c>
      <c r="E47" s="5">
        <v>66.25</v>
      </c>
      <c r="F47" s="16">
        <v>55.6875</v>
      </c>
    </row>
    <row r="48" spans="1:6" ht="20.149999999999999" customHeight="1">
      <c r="A48" s="3">
        <v>47</v>
      </c>
      <c r="B48" s="4" t="s">
        <v>80</v>
      </c>
      <c r="C48" s="4" t="s">
        <v>23</v>
      </c>
      <c r="D48" s="3" t="s">
        <v>14</v>
      </c>
      <c r="E48" s="5">
        <v>61</v>
      </c>
      <c r="F48" s="16">
        <v>57.699999999999996</v>
      </c>
    </row>
    <row r="49" spans="1:6" ht="20.149999999999999" customHeight="1">
      <c r="A49" s="3">
        <v>48</v>
      </c>
      <c r="B49" s="4" t="s">
        <v>22</v>
      </c>
      <c r="C49" s="4" t="s">
        <v>23</v>
      </c>
      <c r="D49" s="3" t="s">
        <v>14</v>
      </c>
      <c r="E49" s="5">
        <v>66.875</v>
      </c>
      <c r="F49" s="16">
        <v>61.8125</v>
      </c>
    </row>
    <row r="50" spans="1:6" ht="20.149999999999999" customHeight="1">
      <c r="A50" s="3">
        <v>49</v>
      </c>
      <c r="B50" s="4" t="s">
        <v>187</v>
      </c>
      <c r="C50" s="4" t="s">
        <v>29</v>
      </c>
      <c r="D50" s="3" t="s">
        <v>19</v>
      </c>
      <c r="E50" s="5">
        <v>55.625</v>
      </c>
      <c r="F50" s="16">
        <v>38.96875</v>
      </c>
    </row>
    <row r="51" spans="1:6" ht="20.149999999999999" customHeight="1">
      <c r="A51" s="3">
        <v>50</v>
      </c>
      <c r="B51" s="4" t="s">
        <v>205</v>
      </c>
      <c r="C51" s="4" t="s">
        <v>13</v>
      </c>
      <c r="D51" s="3" t="s">
        <v>14</v>
      </c>
      <c r="E51" s="5">
        <v>43.375</v>
      </c>
      <c r="F51" s="16">
        <v>47.35</v>
      </c>
    </row>
    <row r="52" spans="1:6" ht="20.149999999999999" customHeight="1">
      <c r="A52" s="3">
        <v>51</v>
      </c>
      <c r="B52" s="4" t="s">
        <v>206</v>
      </c>
      <c r="C52" s="4" t="s">
        <v>13</v>
      </c>
      <c r="D52" s="3" t="s">
        <v>14</v>
      </c>
      <c r="E52" s="5">
        <v>50.749999999999993</v>
      </c>
      <c r="F52" s="16">
        <v>50.3</v>
      </c>
    </row>
    <row r="53" spans="1:6" ht="20.149999999999999" customHeight="1">
      <c r="A53" s="3">
        <v>52</v>
      </c>
      <c r="B53" s="4" t="s">
        <v>144</v>
      </c>
      <c r="C53" s="4" t="s">
        <v>26</v>
      </c>
      <c r="D53" s="3" t="s">
        <v>14</v>
      </c>
      <c r="E53" s="5">
        <v>73</v>
      </c>
      <c r="F53" s="16">
        <v>66.099999999999994</v>
      </c>
    </row>
    <row r="54" spans="1:6" ht="20.149999999999999" customHeight="1">
      <c r="A54" s="3">
        <v>53</v>
      </c>
      <c r="B54" s="4" t="s">
        <v>117</v>
      </c>
      <c r="C54" s="4" t="s">
        <v>96</v>
      </c>
      <c r="D54" s="3" t="s">
        <v>14</v>
      </c>
      <c r="E54" s="5">
        <v>61.375</v>
      </c>
      <c r="F54" s="16">
        <v>56.824999999999996</v>
      </c>
    </row>
    <row r="55" spans="1:6" ht="20.149999999999999" customHeight="1">
      <c r="A55" s="3">
        <v>54</v>
      </c>
      <c r="B55" s="4" t="s">
        <v>147</v>
      </c>
      <c r="C55" s="4" t="s">
        <v>23</v>
      </c>
      <c r="D55" s="3" t="s">
        <v>9</v>
      </c>
      <c r="E55" s="5">
        <v>74.5</v>
      </c>
      <c r="F55" s="16">
        <v>73.150000000000006</v>
      </c>
    </row>
    <row r="56" spans="1:6" ht="20.149999999999999" customHeight="1">
      <c r="A56" s="3">
        <v>55</v>
      </c>
      <c r="B56" s="4" t="s">
        <v>139</v>
      </c>
      <c r="C56" s="4" t="s">
        <v>29</v>
      </c>
      <c r="D56" s="3" t="s">
        <v>19</v>
      </c>
      <c r="E56" s="5">
        <v>53.75</v>
      </c>
      <c r="F56" s="16">
        <v>38.3125</v>
      </c>
    </row>
    <row r="57" spans="1:6" ht="20.149999999999999" customHeight="1">
      <c r="A57" s="3">
        <v>56</v>
      </c>
      <c r="B57" s="4" t="s">
        <v>69</v>
      </c>
      <c r="C57" s="4" t="s">
        <v>26</v>
      </c>
      <c r="D57" s="3" t="s">
        <v>19</v>
      </c>
      <c r="E57" s="5">
        <v>65</v>
      </c>
      <c r="F57" s="16">
        <v>54.5</v>
      </c>
    </row>
    <row r="58" spans="1:6" ht="20.149999999999999" customHeight="1">
      <c r="A58" s="3">
        <v>57</v>
      </c>
      <c r="B58" s="4" t="s">
        <v>118</v>
      </c>
      <c r="C58" s="4" t="s">
        <v>29</v>
      </c>
      <c r="D58" s="3" t="s">
        <v>19</v>
      </c>
      <c r="E58" s="5">
        <v>63.249999999999993</v>
      </c>
      <c r="F58" s="16">
        <v>41.637499999999996</v>
      </c>
    </row>
    <row r="59" spans="1:6" ht="20.149999999999999" customHeight="1">
      <c r="A59" s="3">
        <v>58</v>
      </c>
      <c r="B59" s="4" t="s">
        <v>89</v>
      </c>
      <c r="C59" s="4" t="s">
        <v>96</v>
      </c>
      <c r="D59" s="3" t="s">
        <v>14</v>
      </c>
      <c r="E59" s="5">
        <v>77.5</v>
      </c>
      <c r="F59" s="16">
        <v>66.5</v>
      </c>
    </row>
    <row r="60" spans="1:6" ht="20.149999999999999" customHeight="1">
      <c r="A60" s="3">
        <v>59</v>
      </c>
      <c r="B60" s="4" t="s">
        <v>175</v>
      </c>
      <c r="C60" s="4" t="s">
        <v>96</v>
      </c>
      <c r="D60" s="3" t="s">
        <v>39</v>
      </c>
      <c r="E60" s="5">
        <v>88</v>
      </c>
      <c r="F60" s="16">
        <v>88.8</v>
      </c>
    </row>
    <row r="61" spans="1:6" ht="20.149999999999999" customHeight="1">
      <c r="A61" s="3">
        <v>60</v>
      </c>
      <c r="B61" s="4" t="s">
        <v>223</v>
      </c>
      <c r="C61" s="4" t="s">
        <v>112</v>
      </c>
      <c r="D61" s="3" t="s">
        <v>14</v>
      </c>
      <c r="E61" s="5">
        <v>77.25</v>
      </c>
      <c r="F61" s="16">
        <v>62.262500000000003</v>
      </c>
    </row>
    <row r="62" spans="1:6" ht="20.149999999999999" customHeight="1">
      <c r="A62" s="3">
        <v>61</v>
      </c>
      <c r="B62" s="4" t="s">
        <v>127</v>
      </c>
      <c r="C62" s="4" t="s">
        <v>23</v>
      </c>
      <c r="D62" s="3" t="s">
        <v>9</v>
      </c>
      <c r="E62" s="5">
        <v>67.25</v>
      </c>
      <c r="F62" s="16">
        <v>68.074999999999989</v>
      </c>
    </row>
    <row r="63" spans="1:6" ht="20.149999999999999" customHeight="1">
      <c r="A63" s="3">
        <v>62</v>
      </c>
      <c r="B63" s="4" t="s">
        <v>54</v>
      </c>
      <c r="C63" s="4" t="s">
        <v>29</v>
      </c>
      <c r="D63" s="3" t="s">
        <v>19</v>
      </c>
      <c r="E63" s="5">
        <v>64.75</v>
      </c>
      <c r="F63" s="16">
        <v>42.162499999999994</v>
      </c>
    </row>
    <row r="64" spans="1:6" ht="20.149999999999999" customHeight="1">
      <c r="A64" s="3">
        <v>63</v>
      </c>
      <c r="B64" s="4" t="s">
        <v>203</v>
      </c>
      <c r="C64" s="4" t="s">
        <v>18</v>
      </c>
      <c r="D64" s="3" t="s">
        <v>14</v>
      </c>
      <c r="E64" s="5">
        <v>75.25</v>
      </c>
      <c r="F64" s="16">
        <v>57.575000000000003</v>
      </c>
    </row>
    <row r="65" spans="1:6" ht="20.149999999999999" customHeight="1">
      <c r="A65" s="3">
        <v>64</v>
      </c>
      <c r="B65" s="4" t="s">
        <v>180</v>
      </c>
      <c r="C65" s="4" t="s">
        <v>29</v>
      </c>
      <c r="D65" s="3" t="s">
        <v>14</v>
      </c>
      <c r="E65" s="5">
        <v>73</v>
      </c>
      <c r="F65" s="16">
        <v>58.05</v>
      </c>
    </row>
    <row r="66" spans="1:6" ht="20.149999999999999" customHeight="1">
      <c r="A66" s="3">
        <v>65</v>
      </c>
      <c r="B66" s="4" t="s">
        <v>109</v>
      </c>
      <c r="C66" s="4" t="s">
        <v>18</v>
      </c>
      <c r="D66" s="3" t="s">
        <v>19</v>
      </c>
      <c r="E66" s="5">
        <v>66.25</v>
      </c>
      <c r="F66" s="16">
        <v>40.875</v>
      </c>
    </row>
    <row r="67" spans="1:6" ht="20.149999999999999" customHeight="1">
      <c r="A67" s="3">
        <v>66</v>
      </c>
      <c r="B67" s="4" t="s">
        <v>178</v>
      </c>
      <c r="C67" s="4" t="s">
        <v>29</v>
      </c>
      <c r="D67" s="3" t="s">
        <v>19</v>
      </c>
      <c r="E67" s="5">
        <v>45.25</v>
      </c>
      <c r="F67" s="16">
        <v>35.337499999999999</v>
      </c>
    </row>
    <row r="68" spans="1:6" ht="20.149999999999999" customHeight="1">
      <c r="A68" s="3">
        <v>67</v>
      </c>
      <c r="B68" s="4" t="s">
        <v>108</v>
      </c>
      <c r="C68" s="4" t="s">
        <v>8</v>
      </c>
      <c r="D68" s="3" t="s">
        <v>19</v>
      </c>
      <c r="E68" s="5">
        <v>48.125</v>
      </c>
      <c r="F68" s="16">
        <v>37.25</v>
      </c>
    </row>
    <row r="69" spans="1:6" ht="20.149999999999999" customHeight="1">
      <c r="A69" s="3">
        <v>68</v>
      </c>
      <c r="B69" s="4" t="s">
        <v>224</v>
      </c>
      <c r="C69" s="4" t="s">
        <v>45</v>
      </c>
      <c r="D69" s="3" t="s">
        <v>19</v>
      </c>
      <c r="E69" s="5">
        <v>71.249999999999986</v>
      </c>
      <c r="F69" s="16">
        <v>44.437499999999993</v>
      </c>
    </row>
    <row r="70" spans="1:6" ht="20.149999999999999" customHeight="1">
      <c r="A70" s="3">
        <v>69</v>
      </c>
      <c r="B70" s="4" t="s">
        <v>120</v>
      </c>
      <c r="C70" s="4" t="s">
        <v>45</v>
      </c>
      <c r="D70" s="3" t="s">
        <v>14</v>
      </c>
      <c r="E70" s="5">
        <v>67.375</v>
      </c>
      <c r="F70" s="16">
        <v>56.081249999999997</v>
      </c>
    </row>
    <row r="71" spans="1:6" ht="20.149999999999999" customHeight="1">
      <c r="A71" s="3">
        <v>70</v>
      </c>
      <c r="B71" s="4" t="s">
        <v>159</v>
      </c>
      <c r="C71" s="4" t="s">
        <v>112</v>
      </c>
      <c r="D71" s="3" t="s">
        <v>14</v>
      </c>
      <c r="E71" s="5">
        <v>70.125</v>
      </c>
      <c r="F71" s="16">
        <v>59.056250000000006</v>
      </c>
    </row>
    <row r="72" spans="1:6" ht="20.149999999999999" customHeight="1">
      <c r="A72" s="3">
        <v>71</v>
      </c>
      <c r="B72" s="4" t="s">
        <v>173</v>
      </c>
      <c r="C72" s="4" t="s">
        <v>29</v>
      </c>
      <c r="D72" s="3" t="s">
        <v>14</v>
      </c>
      <c r="E72" s="5">
        <v>65.75</v>
      </c>
      <c r="F72" s="16">
        <v>55.512500000000003</v>
      </c>
    </row>
    <row r="73" spans="1:6" ht="20.149999999999999" customHeight="1">
      <c r="A73" s="3">
        <v>72</v>
      </c>
      <c r="B73" s="4" t="s">
        <v>27</v>
      </c>
      <c r="C73" s="4" t="s">
        <v>23</v>
      </c>
      <c r="D73" s="3" t="s">
        <v>14</v>
      </c>
      <c r="E73" s="5">
        <v>67.875</v>
      </c>
      <c r="F73" s="16">
        <v>62.512499999999996</v>
      </c>
    </row>
    <row r="74" spans="1:6" ht="20.149999999999999" customHeight="1">
      <c r="A74" s="3">
        <v>73</v>
      </c>
      <c r="B74" s="4" t="s">
        <v>148</v>
      </c>
      <c r="C74" s="4" t="s">
        <v>26</v>
      </c>
      <c r="D74" s="3" t="s">
        <v>9</v>
      </c>
      <c r="E74" s="5">
        <v>75.25</v>
      </c>
      <c r="F74" s="16">
        <v>73.674999999999997</v>
      </c>
    </row>
    <row r="75" spans="1:6" ht="20.149999999999999" customHeight="1">
      <c r="A75" s="3">
        <v>74</v>
      </c>
      <c r="B75" s="4" t="s">
        <v>81</v>
      </c>
      <c r="C75" s="4" t="s">
        <v>13</v>
      </c>
      <c r="D75" s="3" t="s">
        <v>14</v>
      </c>
      <c r="E75" s="5">
        <v>67</v>
      </c>
      <c r="F75" s="16">
        <v>56.8</v>
      </c>
    </row>
    <row r="76" spans="1:6" ht="20.149999999999999" customHeight="1">
      <c r="A76" s="3">
        <v>75</v>
      </c>
      <c r="B76" s="4" t="s">
        <v>177</v>
      </c>
      <c r="C76" s="4" t="s">
        <v>29</v>
      </c>
      <c r="D76" s="3" t="s">
        <v>14</v>
      </c>
      <c r="E76" s="5">
        <v>60.25</v>
      </c>
      <c r="F76" s="16">
        <v>53.587499999999999</v>
      </c>
    </row>
    <row r="77" spans="1:6" ht="20.149999999999999" customHeight="1">
      <c r="A77" s="3">
        <v>76</v>
      </c>
      <c r="B77" s="4" t="s">
        <v>221</v>
      </c>
      <c r="C77" s="4" t="s">
        <v>29</v>
      </c>
      <c r="D77" s="3" t="s">
        <v>14</v>
      </c>
      <c r="E77" s="5">
        <v>50</v>
      </c>
      <c r="F77" s="16">
        <v>50</v>
      </c>
    </row>
    <row r="78" spans="1:6" ht="20.149999999999999" customHeight="1">
      <c r="A78" s="3">
        <v>77</v>
      </c>
      <c r="B78" s="4" t="s">
        <v>82</v>
      </c>
      <c r="C78" s="4" t="s">
        <v>45</v>
      </c>
      <c r="D78" s="3" t="s">
        <v>14</v>
      </c>
      <c r="E78" s="5">
        <v>71.625</v>
      </c>
      <c r="F78" s="16">
        <v>57.568749999999994</v>
      </c>
    </row>
    <row r="79" spans="1:6" ht="20.149999999999999" customHeight="1">
      <c r="A79" s="3">
        <v>78</v>
      </c>
      <c r="B79" s="4" t="s">
        <v>222</v>
      </c>
      <c r="C79" s="4" t="s">
        <v>37</v>
      </c>
      <c r="D79" s="3" t="s">
        <v>19</v>
      </c>
      <c r="E79" s="5">
        <v>66.250000000000014</v>
      </c>
      <c r="F79" s="16">
        <v>40.875</v>
      </c>
    </row>
    <row r="80" spans="1:6" ht="20.149999999999999" customHeight="1">
      <c r="A80" s="3">
        <v>79</v>
      </c>
      <c r="B80" s="4" t="s">
        <v>163</v>
      </c>
      <c r="C80" s="4" t="s">
        <v>13</v>
      </c>
      <c r="D80" s="3" t="s">
        <v>14</v>
      </c>
      <c r="E80" s="5">
        <v>50.249999999999993</v>
      </c>
      <c r="F80" s="16">
        <v>50.099999999999994</v>
      </c>
    </row>
    <row r="81" spans="1:6" ht="20.149999999999999" customHeight="1">
      <c r="A81" s="3">
        <v>80</v>
      </c>
      <c r="B81" s="4" t="s">
        <v>214</v>
      </c>
      <c r="C81" s="4" t="s">
        <v>37</v>
      </c>
      <c r="D81" s="3" t="s">
        <v>19</v>
      </c>
      <c r="E81" s="5">
        <v>56.375</v>
      </c>
      <c r="F81" s="16">
        <v>37.912499999999994</v>
      </c>
    </row>
    <row r="82" spans="1:6" ht="20.149999999999999" customHeight="1">
      <c r="A82" s="3">
        <v>81</v>
      </c>
      <c r="B82" s="4" t="s">
        <v>197</v>
      </c>
      <c r="C82" s="4" t="s">
        <v>13</v>
      </c>
      <c r="D82" s="3" t="s">
        <v>19</v>
      </c>
      <c r="E82" s="5">
        <v>50</v>
      </c>
      <c r="F82" s="16">
        <v>38</v>
      </c>
    </row>
    <row r="83" spans="1:6" ht="20.149999999999999" customHeight="1">
      <c r="A83" s="3">
        <v>82</v>
      </c>
      <c r="B83" s="4" t="s">
        <v>90</v>
      </c>
      <c r="C83" s="4" t="s">
        <v>45</v>
      </c>
      <c r="D83" s="3" t="s">
        <v>9</v>
      </c>
      <c r="E83" s="5">
        <v>48.875</v>
      </c>
      <c r="F83" s="16">
        <v>62.606250000000003</v>
      </c>
    </row>
    <row r="84" spans="1:6" ht="20.149999999999999" customHeight="1">
      <c r="A84" s="3">
        <v>83</v>
      </c>
      <c r="B84" s="4" t="s">
        <v>196</v>
      </c>
      <c r="C84" s="4" t="s">
        <v>29</v>
      </c>
      <c r="D84" s="3" t="s">
        <v>14</v>
      </c>
      <c r="E84" s="5">
        <v>57.25</v>
      </c>
      <c r="F84" s="16">
        <v>52.537499999999994</v>
      </c>
    </row>
    <row r="85" spans="1:6" ht="20.149999999999999" customHeight="1">
      <c r="A85" s="3">
        <v>84</v>
      </c>
      <c r="B85" s="4" t="s">
        <v>213</v>
      </c>
      <c r="C85" s="4" t="s">
        <v>35</v>
      </c>
      <c r="D85" s="3" t="s">
        <v>14</v>
      </c>
      <c r="E85" s="5">
        <v>67.5</v>
      </c>
      <c r="F85" s="16">
        <v>57</v>
      </c>
    </row>
    <row r="86" spans="1:6" ht="20.149999999999999" customHeight="1">
      <c r="A86" s="3">
        <v>85</v>
      </c>
      <c r="B86" s="4" t="s">
        <v>30</v>
      </c>
      <c r="C86" s="4" t="s">
        <v>29</v>
      </c>
      <c r="D86" s="3" t="s">
        <v>9</v>
      </c>
      <c r="E86" s="5">
        <v>69.875</v>
      </c>
      <c r="F86" s="16">
        <v>69.956249999999997</v>
      </c>
    </row>
    <row r="87" spans="1:6" ht="20.149999999999999" customHeight="1">
      <c r="A87" s="3">
        <v>86</v>
      </c>
      <c r="B87" s="4" t="s">
        <v>210</v>
      </c>
      <c r="C87" s="4" t="s">
        <v>13</v>
      </c>
      <c r="D87" s="3" t="s">
        <v>14</v>
      </c>
      <c r="E87" s="5">
        <v>74.75</v>
      </c>
      <c r="F87" s="16">
        <v>59.900000000000006</v>
      </c>
    </row>
    <row r="88" spans="1:6" ht="20.149999999999999" customHeight="1">
      <c r="A88" s="3">
        <v>87</v>
      </c>
      <c r="B88" s="4" t="s">
        <v>78</v>
      </c>
      <c r="C88" s="4" t="s">
        <v>35</v>
      </c>
      <c r="D88" s="3" t="s">
        <v>19</v>
      </c>
      <c r="E88" s="5">
        <v>67.75</v>
      </c>
      <c r="F88" s="16">
        <v>45.1</v>
      </c>
    </row>
    <row r="89" spans="1:6" ht="20.149999999999999" customHeight="1">
      <c r="A89" s="3">
        <v>88</v>
      </c>
      <c r="B89" s="4" t="s">
        <v>217</v>
      </c>
      <c r="C89" s="4" t="s">
        <v>13</v>
      </c>
      <c r="D89" s="3" t="s">
        <v>14</v>
      </c>
      <c r="E89" s="5">
        <v>80</v>
      </c>
      <c r="F89" s="16">
        <v>62</v>
      </c>
    </row>
    <row r="90" spans="1:6" ht="20.149999999999999" customHeight="1">
      <c r="A90" s="3">
        <v>89</v>
      </c>
      <c r="B90" s="4" t="s">
        <v>110</v>
      </c>
      <c r="C90" s="4" t="s">
        <v>13</v>
      </c>
      <c r="D90" s="3" t="s">
        <v>14</v>
      </c>
      <c r="E90" s="5">
        <v>40.5</v>
      </c>
      <c r="F90" s="16">
        <v>46.2</v>
      </c>
    </row>
    <row r="91" spans="1:6" ht="20.149999999999999" customHeight="1">
      <c r="A91" s="3">
        <v>90</v>
      </c>
      <c r="B91" s="4" t="s">
        <v>75</v>
      </c>
      <c r="C91" s="4" t="s">
        <v>26</v>
      </c>
      <c r="D91" s="3" t="s">
        <v>19</v>
      </c>
      <c r="E91" s="5">
        <v>67.125</v>
      </c>
      <c r="F91" s="16">
        <v>55.987499999999997</v>
      </c>
    </row>
    <row r="92" spans="1:6" ht="20.149999999999999" customHeight="1">
      <c r="A92" s="3">
        <v>91</v>
      </c>
      <c r="B92" s="4" t="s">
        <v>47</v>
      </c>
      <c r="C92" s="4" t="s">
        <v>37</v>
      </c>
      <c r="D92" s="3" t="s">
        <v>48</v>
      </c>
      <c r="E92" s="5">
        <v>50</v>
      </c>
      <c r="F92" s="16">
        <v>15</v>
      </c>
    </row>
    <row r="93" spans="1:6" ht="20.149999999999999" customHeight="1">
      <c r="A93" s="3">
        <v>92</v>
      </c>
      <c r="B93" s="4" t="s">
        <v>212</v>
      </c>
      <c r="C93" s="4" t="s">
        <v>37</v>
      </c>
      <c r="D93" s="3" t="s">
        <v>19</v>
      </c>
      <c r="E93" s="5">
        <v>63.374999999999993</v>
      </c>
      <c r="F93" s="16">
        <v>40.012499999999996</v>
      </c>
    </row>
    <row r="94" spans="1:6" ht="20.149999999999999" customHeight="1">
      <c r="A94" s="3">
        <v>93</v>
      </c>
      <c r="B94" s="4" t="s">
        <v>172</v>
      </c>
      <c r="C94" s="4" t="s">
        <v>29</v>
      </c>
      <c r="D94" s="3" t="s">
        <v>19</v>
      </c>
      <c r="E94" s="5">
        <v>54.625</v>
      </c>
      <c r="F94" s="16">
        <v>38.618749999999999</v>
      </c>
    </row>
    <row r="95" spans="1:6" ht="20.149999999999999" customHeight="1">
      <c r="A95" s="3">
        <v>94</v>
      </c>
      <c r="B95" s="4" t="s">
        <v>162</v>
      </c>
      <c r="C95" s="4" t="s">
        <v>13</v>
      </c>
      <c r="D95" s="3" t="s">
        <v>19</v>
      </c>
      <c r="E95" s="5">
        <v>63.875000000000007</v>
      </c>
      <c r="F95" s="16">
        <v>43.550000000000004</v>
      </c>
    </row>
    <row r="96" spans="1:6" ht="20.149999999999999" customHeight="1">
      <c r="A96" s="3">
        <v>95</v>
      </c>
      <c r="B96" s="4" t="s">
        <v>149</v>
      </c>
      <c r="C96" s="4" t="s">
        <v>26</v>
      </c>
      <c r="D96" s="3" t="s">
        <v>14</v>
      </c>
      <c r="E96" s="5">
        <v>63.875000000000007</v>
      </c>
      <c r="F96" s="16">
        <v>59.712500000000006</v>
      </c>
    </row>
    <row r="97" spans="1:6" ht="20.149999999999999" customHeight="1">
      <c r="A97" s="3">
        <v>96</v>
      </c>
      <c r="B97" s="4" t="s">
        <v>150</v>
      </c>
      <c r="C97" s="4" t="s">
        <v>26</v>
      </c>
      <c r="D97" s="3" t="s">
        <v>9</v>
      </c>
      <c r="E97" s="5">
        <v>78.125</v>
      </c>
      <c r="F97" s="16">
        <v>75.6875</v>
      </c>
    </row>
    <row r="98" spans="1:6" ht="20.149999999999999" customHeight="1">
      <c r="A98" s="3">
        <v>97</v>
      </c>
      <c r="B98" s="4" t="s">
        <v>128</v>
      </c>
      <c r="C98" s="4" t="s">
        <v>23</v>
      </c>
      <c r="D98" s="3" t="s">
        <v>14</v>
      </c>
      <c r="E98" s="5">
        <v>77</v>
      </c>
      <c r="F98" s="16">
        <v>68.900000000000006</v>
      </c>
    </row>
    <row r="99" spans="1:6" ht="20.149999999999999" customHeight="1">
      <c r="A99" s="3">
        <v>98</v>
      </c>
      <c r="B99" s="4" t="s">
        <v>188</v>
      </c>
      <c r="C99" s="4" t="s">
        <v>35</v>
      </c>
      <c r="D99" s="3" t="s">
        <v>39</v>
      </c>
      <c r="E99" s="5">
        <v>82.625</v>
      </c>
      <c r="F99" s="16">
        <v>87.050000000000011</v>
      </c>
    </row>
    <row r="100" spans="1:6" ht="20.149999999999999" customHeight="1">
      <c r="A100" s="3">
        <v>99</v>
      </c>
      <c r="B100" s="4" t="s">
        <v>134</v>
      </c>
      <c r="C100" s="4" t="s">
        <v>65</v>
      </c>
      <c r="D100" s="3" t="s">
        <v>19</v>
      </c>
      <c r="E100" s="5">
        <v>78.25</v>
      </c>
      <c r="F100" s="16">
        <v>61.362500000000004</v>
      </c>
    </row>
    <row r="101" spans="1:6" ht="20.149999999999999" customHeight="1">
      <c r="A101" s="3">
        <v>100</v>
      </c>
      <c r="B101" s="4" t="s">
        <v>76</v>
      </c>
      <c r="C101" s="17" t="s">
        <v>35</v>
      </c>
      <c r="D101" s="3" t="s">
        <v>14</v>
      </c>
      <c r="E101" s="5">
        <v>51.5</v>
      </c>
      <c r="F101" s="16">
        <v>50.6</v>
      </c>
    </row>
    <row r="102" spans="1:6" ht="20.149999999999999" customHeight="1">
      <c r="A102" s="3">
        <v>101</v>
      </c>
      <c r="B102" s="4" t="s">
        <v>151</v>
      </c>
      <c r="C102" s="4" t="s">
        <v>26</v>
      </c>
      <c r="D102" s="3" t="s">
        <v>14</v>
      </c>
      <c r="E102" s="5">
        <v>78.875</v>
      </c>
      <c r="F102" s="16">
        <v>70.212500000000006</v>
      </c>
    </row>
    <row r="103" spans="1:6" ht="20.149999999999999" customHeight="1">
      <c r="A103" s="3">
        <v>102</v>
      </c>
      <c r="B103" s="4" t="s">
        <v>7</v>
      </c>
      <c r="C103" s="4" t="s">
        <v>8</v>
      </c>
      <c r="D103" s="3" t="s">
        <v>9</v>
      </c>
      <c r="E103" s="5">
        <v>64.5</v>
      </c>
      <c r="F103" s="16">
        <v>67.8</v>
      </c>
    </row>
    <row r="104" spans="1:6" ht="20.149999999999999" customHeight="1">
      <c r="A104" s="3">
        <v>103</v>
      </c>
      <c r="B104" s="4" t="s">
        <v>202</v>
      </c>
      <c r="C104" s="4" t="s">
        <v>35</v>
      </c>
      <c r="D104" s="3" t="s">
        <v>9</v>
      </c>
      <c r="E104" s="5">
        <v>68.75</v>
      </c>
      <c r="F104" s="16">
        <v>69.5</v>
      </c>
    </row>
    <row r="105" spans="1:6" ht="20.149999999999999" customHeight="1">
      <c r="A105" s="3">
        <v>104</v>
      </c>
      <c r="B105" s="4" t="s">
        <v>105</v>
      </c>
      <c r="C105" s="4" t="s">
        <v>37</v>
      </c>
      <c r="D105" s="3" t="s">
        <v>14</v>
      </c>
      <c r="E105" s="5">
        <v>76</v>
      </c>
      <c r="F105" s="16">
        <v>57.8</v>
      </c>
    </row>
    <row r="106" spans="1:6" ht="20.149999999999999" customHeight="1">
      <c r="A106" s="3">
        <v>105</v>
      </c>
      <c r="B106" s="4" t="s">
        <v>220</v>
      </c>
      <c r="C106" s="4" t="s">
        <v>112</v>
      </c>
      <c r="D106" s="3" t="s">
        <v>9</v>
      </c>
      <c r="E106" s="5">
        <v>91.25</v>
      </c>
      <c r="F106" s="16">
        <v>79.5625</v>
      </c>
    </row>
    <row r="107" spans="1:6" ht="20.149999999999999" customHeight="1">
      <c r="A107" s="3">
        <v>106</v>
      </c>
      <c r="B107" s="4" t="s">
        <v>152</v>
      </c>
      <c r="C107" s="4" t="s">
        <v>26</v>
      </c>
      <c r="D107" s="3" t="s">
        <v>19</v>
      </c>
      <c r="E107" s="5">
        <v>75.625</v>
      </c>
      <c r="F107" s="16">
        <v>61.9375</v>
      </c>
    </row>
    <row r="108" spans="1:6" ht="20.149999999999999" customHeight="1">
      <c r="A108" s="3">
        <v>107</v>
      </c>
      <c r="B108" s="4" t="s">
        <v>195</v>
      </c>
      <c r="C108" s="4" t="s">
        <v>37</v>
      </c>
      <c r="D108" s="3" t="s">
        <v>19</v>
      </c>
      <c r="E108" s="5">
        <v>70.5</v>
      </c>
      <c r="F108" s="16">
        <v>42.15</v>
      </c>
    </row>
    <row r="109" spans="1:6" ht="20.149999999999999" customHeight="1">
      <c r="A109" s="3">
        <v>108</v>
      </c>
      <c r="B109" s="4" t="s">
        <v>208</v>
      </c>
      <c r="C109" s="4" t="s">
        <v>13</v>
      </c>
      <c r="D109" s="3" t="s">
        <v>9</v>
      </c>
      <c r="E109" s="5">
        <v>77.5</v>
      </c>
      <c r="F109" s="16">
        <v>73</v>
      </c>
    </row>
    <row r="110" spans="1:6" ht="20.149999999999999" customHeight="1">
      <c r="A110" s="3">
        <v>109</v>
      </c>
      <c r="B110" s="4" t="s">
        <v>55</v>
      </c>
      <c r="C110" s="4" t="s">
        <v>18</v>
      </c>
      <c r="D110" s="3" t="s">
        <v>9</v>
      </c>
      <c r="E110" s="5">
        <v>72.75</v>
      </c>
      <c r="F110" s="16">
        <v>70.825000000000003</v>
      </c>
    </row>
    <row r="111" spans="1:6" ht="20.149999999999999" customHeight="1">
      <c r="A111" s="3">
        <v>110</v>
      </c>
      <c r="B111" s="4" t="s">
        <v>107</v>
      </c>
      <c r="C111" s="4" t="s">
        <v>13</v>
      </c>
      <c r="D111" s="3" t="s">
        <v>14</v>
      </c>
      <c r="E111" s="5">
        <v>50.625</v>
      </c>
      <c r="F111" s="16">
        <v>50.25</v>
      </c>
    </row>
    <row r="112" spans="1:6" ht="20.149999999999999" customHeight="1">
      <c r="A112" s="3">
        <v>111</v>
      </c>
      <c r="B112" s="4" t="s">
        <v>176</v>
      </c>
      <c r="C112" s="4" t="s">
        <v>29</v>
      </c>
      <c r="D112" s="3" t="s">
        <v>14</v>
      </c>
      <c r="E112" s="5">
        <v>65.250000000000014</v>
      </c>
      <c r="F112" s="16">
        <v>55.337500000000006</v>
      </c>
    </row>
    <row r="113" spans="1:6" ht="20.149999999999999" customHeight="1">
      <c r="A113" s="3">
        <v>112</v>
      </c>
      <c r="B113" s="4" t="s">
        <v>125</v>
      </c>
      <c r="C113" s="4" t="s">
        <v>26</v>
      </c>
      <c r="D113" s="3" t="s">
        <v>14</v>
      </c>
      <c r="E113" s="5">
        <v>75.125</v>
      </c>
      <c r="F113" s="16">
        <v>67.587500000000006</v>
      </c>
    </row>
    <row r="114" spans="1:6" ht="20.149999999999999" customHeight="1">
      <c r="A114" s="3">
        <v>113</v>
      </c>
      <c r="B114" s="4" t="s">
        <v>53</v>
      </c>
      <c r="C114" s="4" t="s">
        <v>13</v>
      </c>
      <c r="D114" s="3" t="s">
        <v>14</v>
      </c>
      <c r="E114" s="5">
        <v>64.875</v>
      </c>
      <c r="F114" s="16">
        <v>55.95</v>
      </c>
    </row>
    <row r="115" spans="1:6" ht="20.149999999999999" customHeight="1">
      <c r="A115" s="3">
        <v>114</v>
      </c>
      <c r="B115" s="4" t="s">
        <v>153</v>
      </c>
      <c r="C115" s="4" t="s">
        <v>26</v>
      </c>
      <c r="D115" s="3" t="s">
        <v>9</v>
      </c>
      <c r="E115" s="5">
        <v>75.125</v>
      </c>
      <c r="F115" s="16">
        <v>73.587500000000006</v>
      </c>
    </row>
    <row r="116" spans="1:6" ht="20.149999999999999" customHeight="1">
      <c r="A116" s="3">
        <v>115</v>
      </c>
      <c r="B116" s="4" t="s">
        <v>185</v>
      </c>
      <c r="C116" s="4" t="s">
        <v>43</v>
      </c>
      <c r="D116" s="3" t="s">
        <v>14</v>
      </c>
      <c r="E116" s="5">
        <v>48.25</v>
      </c>
      <c r="F116" s="16">
        <v>49.5625</v>
      </c>
    </row>
    <row r="117" spans="1:6" ht="20.149999999999999" customHeight="1">
      <c r="A117" s="3">
        <v>116</v>
      </c>
      <c r="B117" s="4" t="s">
        <v>59</v>
      </c>
      <c r="C117" s="4" t="s">
        <v>23</v>
      </c>
      <c r="D117" s="3" t="s">
        <v>9</v>
      </c>
      <c r="E117" s="5">
        <v>50.749999999999993</v>
      </c>
      <c r="F117" s="16">
        <v>56.524999999999991</v>
      </c>
    </row>
    <row r="118" spans="1:6" ht="20.149999999999999" customHeight="1">
      <c r="A118" s="3">
        <v>117</v>
      </c>
      <c r="B118" s="4" t="s">
        <v>46</v>
      </c>
      <c r="C118" s="4" t="s">
        <v>35</v>
      </c>
      <c r="D118" s="3" t="s">
        <v>39</v>
      </c>
      <c r="E118" s="5">
        <v>78</v>
      </c>
      <c r="F118" s="16">
        <v>85.2</v>
      </c>
    </row>
    <row r="119" spans="1:6" ht="20.149999999999999" customHeight="1">
      <c r="A119" s="3">
        <v>118</v>
      </c>
      <c r="B119" s="4" t="s">
        <v>198</v>
      </c>
      <c r="C119" s="4" t="s">
        <v>29</v>
      </c>
      <c r="D119" s="3" t="s">
        <v>14</v>
      </c>
      <c r="E119" s="5">
        <v>75</v>
      </c>
      <c r="F119" s="16">
        <v>58.75</v>
      </c>
    </row>
    <row r="120" spans="1:6" ht="20.149999999999999" customHeight="1">
      <c r="A120" s="3">
        <v>119</v>
      </c>
      <c r="B120" s="4" t="s">
        <v>200</v>
      </c>
      <c r="C120" s="4" t="s">
        <v>13</v>
      </c>
      <c r="D120" s="3" t="s">
        <v>14</v>
      </c>
      <c r="E120" s="5">
        <v>73.5</v>
      </c>
      <c r="F120" s="16">
        <v>59.400000000000006</v>
      </c>
    </row>
    <row r="121" spans="1:6" ht="20.149999999999999" customHeight="1">
      <c r="A121" s="3">
        <v>120</v>
      </c>
      <c r="B121" s="4" t="s">
        <v>106</v>
      </c>
      <c r="C121" s="4" t="s">
        <v>29</v>
      </c>
      <c r="D121" s="3" t="s">
        <v>14</v>
      </c>
      <c r="E121" s="5">
        <v>47.625</v>
      </c>
      <c r="F121" s="16">
        <v>49.168750000000003</v>
      </c>
    </row>
    <row r="122" spans="1:6" ht="20.149999999999999" customHeight="1">
      <c r="A122" s="3">
        <v>121</v>
      </c>
      <c r="B122" s="4" t="s">
        <v>186</v>
      </c>
      <c r="C122" s="4" t="s">
        <v>45</v>
      </c>
      <c r="D122" s="3" t="s">
        <v>19</v>
      </c>
      <c r="E122" s="5">
        <v>67</v>
      </c>
      <c r="F122" s="16">
        <v>42.95</v>
      </c>
    </row>
    <row r="123" spans="1:6" ht="20.149999999999999" customHeight="1">
      <c r="A123" s="3">
        <v>122</v>
      </c>
      <c r="B123" s="4" t="s">
        <v>102</v>
      </c>
      <c r="C123" s="4" t="s">
        <v>37</v>
      </c>
      <c r="D123" s="3" t="s">
        <v>19</v>
      </c>
      <c r="E123" s="5">
        <v>48.5</v>
      </c>
      <c r="F123" s="16">
        <v>35.549999999999997</v>
      </c>
    </row>
    <row r="124" spans="1:6" ht="20.149999999999999" customHeight="1">
      <c r="A124" s="3">
        <v>123</v>
      </c>
      <c r="B124" s="4" t="s">
        <v>184</v>
      </c>
      <c r="C124" s="4" t="s">
        <v>43</v>
      </c>
      <c r="D124" s="3" t="s">
        <v>14</v>
      </c>
      <c r="E124" s="5">
        <v>64.5</v>
      </c>
      <c r="F124" s="16">
        <v>53.625</v>
      </c>
    </row>
    <row r="125" spans="1:6" ht="20.149999999999999" customHeight="1">
      <c r="A125" s="3">
        <v>124</v>
      </c>
      <c r="B125" s="4" t="s">
        <v>156</v>
      </c>
      <c r="C125" s="4" t="s">
        <v>8</v>
      </c>
      <c r="D125" s="3" t="s">
        <v>39</v>
      </c>
      <c r="E125" s="5">
        <v>92</v>
      </c>
      <c r="F125" s="16">
        <v>90.800000000000011</v>
      </c>
    </row>
    <row r="126" spans="1:6" ht="20.149999999999999" customHeight="1">
      <c r="A126" s="3">
        <v>125</v>
      </c>
      <c r="B126" s="4" t="s">
        <v>17</v>
      </c>
      <c r="C126" s="4" t="s">
        <v>18</v>
      </c>
      <c r="D126" s="3" t="s">
        <v>19</v>
      </c>
      <c r="E126" s="5">
        <v>65.375</v>
      </c>
      <c r="F126" s="16">
        <v>40.612499999999997</v>
      </c>
    </row>
    <row r="127" spans="1:6" ht="20.149999999999999" customHeight="1">
      <c r="A127" s="3">
        <v>126</v>
      </c>
      <c r="B127" s="4" t="s">
        <v>191</v>
      </c>
      <c r="C127" s="4" t="s">
        <v>8</v>
      </c>
      <c r="D127" s="3" t="s">
        <v>19</v>
      </c>
      <c r="E127" s="5">
        <v>66.25</v>
      </c>
      <c r="F127" s="16">
        <v>44.5</v>
      </c>
    </row>
    <row r="128" spans="1:6" ht="20.149999999999999" customHeight="1">
      <c r="A128" s="3">
        <v>127</v>
      </c>
      <c r="B128" s="4" t="s">
        <v>211</v>
      </c>
      <c r="C128" s="4" t="s">
        <v>43</v>
      </c>
      <c r="D128" s="3" t="s">
        <v>9</v>
      </c>
      <c r="E128" s="5">
        <v>77.75</v>
      </c>
      <c r="F128" s="16">
        <v>71.9375</v>
      </c>
    </row>
    <row r="129" spans="1:6" ht="20.149999999999999" customHeight="1">
      <c r="A129" s="3">
        <v>128</v>
      </c>
      <c r="B129" s="4" t="s">
        <v>64</v>
      </c>
      <c r="C129" s="4" t="s">
        <v>65</v>
      </c>
      <c r="D129" s="3" t="s">
        <v>19</v>
      </c>
      <c r="E129" s="5">
        <v>66.25</v>
      </c>
      <c r="F129" s="16">
        <v>53.5625</v>
      </c>
    </row>
    <row r="130" spans="1:6" ht="20.149999999999999" customHeight="1">
      <c r="A130" s="3">
        <v>129</v>
      </c>
      <c r="B130" s="4" t="s">
        <v>161</v>
      </c>
      <c r="C130" s="4" t="s">
        <v>43</v>
      </c>
      <c r="D130" s="3" t="s">
        <v>14</v>
      </c>
      <c r="E130" s="5">
        <v>67.625</v>
      </c>
      <c r="F130" s="16">
        <v>54.40625</v>
      </c>
    </row>
    <row r="131" spans="1:6" ht="20.149999999999999" customHeight="1">
      <c r="A131" s="3">
        <v>130</v>
      </c>
      <c r="B131" s="4" t="s">
        <v>215</v>
      </c>
      <c r="C131" s="4" t="s">
        <v>43</v>
      </c>
      <c r="D131" s="3" t="s">
        <v>14</v>
      </c>
      <c r="E131" s="5">
        <v>77.75</v>
      </c>
      <c r="F131" s="16">
        <v>56.9375</v>
      </c>
    </row>
    <row r="132" spans="1:6" ht="20.149999999999999" customHeight="1">
      <c r="A132" s="3">
        <v>131</v>
      </c>
      <c r="B132" s="4" t="s">
        <v>42</v>
      </c>
      <c r="C132" s="4" t="s">
        <v>43</v>
      </c>
      <c r="D132" s="3" t="s">
        <v>9</v>
      </c>
      <c r="E132" s="5">
        <v>72.5</v>
      </c>
      <c r="F132" s="16">
        <v>70.625</v>
      </c>
    </row>
    <row r="133" spans="1:6" ht="20.149999999999999" customHeight="1">
      <c r="A133" s="3">
        <v>132</v>
      </c>
      <c r="B133" s="4" t="s">
        <v>92</v>
      </c>
      <c r="C133" s="4" t="s">
        <v>35</v>
      </c>
      <c r="D133" s="3" t="s">
        <v>19</v>
      </c>
      <c r="E133" s="5">
        <v>70.25</v>
      </c>
      <c r="F133" s="16">
        <v>46.1</v>
      </c>
    </row>
    <row r="134" spans="1:6" ht="20.149999999999999" customHeight="1">
      <c r="A134" s="3">
        <v>133</v>
      </c>
      <c r="B134" s="4" t="s">
        <v>32</v>
      </c>
      <c r="C134" s="4" t="s">
        <v>29</v>
      </c>
      <c r="D134" s="3" t="s">
        <v>19</v>
      </c>
      <c r="E134" s="5">
        <v>67.5</v>
      </c>
      <c r="F134" s="16">
        <v>43.125</v>
      </c>
    </row>
    <row r="135" spans="1:6" ht="20.149999999999999" customHeight="1">
      <c r="A135" s="3">
        <v>134</v>
      </c>
      <c r="B135" s="4" t="s">
        <v>207</v>
      </c>
      <c r="C135" s="4" t="s">
        <v>35</v>
      </c>
      <c r="D135" s="3" t="s">
        <v>39</v>
      </c>
      <c r="E135" s="5">
        <v>82.5</v>
      </c>
      <c r="F135" s="16">
        <v>87</v>
      </c>
    </row>
    <row r="136" spans="1:6" ht="20.149999999999999" customHeight="1">
      <c r="A136" s="3">
        <v>135</v>
      </c>
      <c r="B136" s="4" t="s">
        <v>103</v>
      </c>
      <c r="C136" s="4" t="s">
        <v>29</v>
      </c>
      <c r="D136" s="3" t="s">
        <v>19</v>
      </c>
      <c r="E136" s="5">
        <v>50.375</v>
      </c>
      <c r="F136" s="16">
        <v>37.131249999999994</v>
      </c>
    </row>
    <row r="137" spans="1:6" ht="20.149999999999999" customHeight="1">
      <c r="A137" s="3">
        <v>136</v>
      </c>
      <c r="B137" s="4" t="s">
        <v>179</v>
      </c>
      <c r="C137" s="4" t="s">
        <v>35</v>
      </c>
      <c r="D137" s="3" t="s">
        <v>48</v>
      </c>
      <c r="E137" s="5">
        <v>72.5</v>
      </c>
      <c r="F137" s="16">
        <v>29</v>
      </c>
    </row>
    <row r="138" spans="1:6" ht="20.149999999999999" customHeight="1">
      <c r="A138" s="3">
        <v>137</v>
      </c>
      <c r="B138" s="4" t="s">
        <v>104</v>
      </c>
      <c r="C138" s="4" t="s">
        <v>13</v>
      </c>
      <c r="D138" s="3" t="s">
        <v>14</v>
      </c>
      <c r="E138" s="5">
        <v>49.125</v>
      </c>
      <c r="F138" s="16">
        <v>49.650000000000006</v>
      </c>
    </row>
    <row r="139" spans="1:6" ht="20.149999999999999" customHeight="1">
      <c r="A139" s="3">
        <v>138</v>
      </c>
      <c r="B139" s="4" t="s">
        <v>181</v>
      </c>
      <c r="C139" s="4" t="s">
        <v>45</v>
      </c>
      <c r="D139" s="3" t="s">
        <v>9</v>
      </c>
      <c r="E139" s="5">
        <v>71.25</v>
      </c>
      <c r="F139" s="16">
        <v>70.4375</v>
      </c>
    </row>
    <row r="140" spans="1:6" ht="20.149999999999999" customHeight="1">
      <c r="A140" s="3">
        <v>139</v>
      </c>
      <c r="B140" s="4" t="s">
        <v>154</v>
      </c>
      <c r="C140" s="4" t="s">
        <v>26</v>
      </c>
      <c r="D140" s="3" t="s">
        <v>9</v>
      </c>
      <c r="E140" s="5">
        <v>75.75</v>
      </c>
      <c r="F140" s="16">
        <v>74.025000000000006</v>
      </c>
    </row>
    <row r="141" spans="1:6" ht="20.149999999999999" customHeight="1">
      <c r="A141" s="3">
        <v>140</v>
      </c>
      <c r="B141" s="4" t="s">
        <v>99</v>
      </c>
      <c r="C141" s="4" t="s">
        <v>29</v>
      </c>
      <c r="D141" s="3" t="s">
        <v>14</v>
      </c>
      <c r="E141" s="5">
        <v>61.625</v>
      </c>
      <c r="F141" s="16">
        <v>54.068749999999994</v>
      </c>
    </row>
    <row r="142" spans="1:6" ht="20.149999999999999" customHeight="1">
      <c r="A142" s="3">
        <v>141</v>
      </c>
      <c r="B142" s="4" t="s">
        <v>129</v>
      </c>
      <c r="C142" s="4" t="s">
        <v>23</v>
      </c>
      <c r="D142" s="3" t="s">
        <v>9</v>
      </c>
      <c r="E142" s="5">
        <v>81.25</v>
      </c>
      <c r="F142" s="16">
        <v>77.875</v>
      </c>
    </row>
    <row r="143" spans="1:6" ht="20.149999999999999" customHeight="1">
      <c r="A143" s="3">
        <v>142</v>
      </c>
      <c r="B143" s="4" t="s">
        <v>84</v>
      </c>
      <c r="C143" s="4" t="s">
        <v>13</v>
      </c>
      <c r="D143" s="3" t="s">
        <v>19</v>
      </c>
      <c r="E143" s="5">
        <v>70.25</v>
      </c>
      <c r="F143" s="16">
        <v>46.1</v>
      </c>
    </row>
    <row r="144" spans="1:6" ht="20.149999999999999" customHeight="1">
      <c r="A144" s="3">
        <v>143</v>
      </c>
      <c r="B144" s="4" t="s">
        <v>119</v>
      </c>
      <c r="C144" s="4" t="s">
        <v>13</v>
      </c>
      <c r="D144" s="3" t="s">
        <v>19</v>
      </c>
      <c r="E144" s="5">
        <v>72.75</v>
      </c>
      <c r="F144" s="16">
        <v>47.1</v>
      </c>
    </row>
    <row r="145" spans="1:6" ht="20.149999999999999" customHeight="1">
      <c r="A145" s="3">
        <v>144</v>
      </c>
      <c r="B145" s="4" t="s">
        <v>174</v>
      </c>
      <c r="C145" s="4" t="s">
        <v>37</v>
      </c>
      <c r="D145" s="3" t="s">
        <v>19</v>
      </c>
      <c r="E145" s="5">
        <v>52.25</v>
      </c>
      <c r="F145" s="16">
        <v>36.674999999999997</v>
      </c>
    </row>
    <row r="146" spans="1:6" ht="20.149999999999999" customHeight="1">
      <c r="A146" s="3">
        <v>145</v>
      </c>
      <c r="B146" s="4" t="s">
        <v>155</v>
      </c>
      <c r="C146" s="4" t="s">
        <v>26</v>
      </c>
      <c r="D146" s="3" t="s">
        <v>9</v>
      </c>
      <c r="E146" s="5">
        <v>77</v>
      </c>
      <c r="F146" s="16">
        <v>74.900000000000006</v>
      </c>
    </row>
    <row r="147" spans="1:6" ht="20.149999999999999" customHeight="1">
      <c r="A147" s="3">
        <v>146</v>
      </c>
      <c r="B147" s="4" t="s">
        <v>133</v>
      </c>
      <c r="C147" s="4" t="s">
        <v>23</v>
      </c>
      <c r="D147" s="3" t="s">
        <v>39</v>
      </c>
      <c r="E147" s="5">
        <v>90.25</v>
      </c>
      <c r="F147" s="16">
        <v>90.174999999999997</v>
      </c>
    </row>
    <row r="148" spans="1:6" ht="20.149999999999999" customHeight="1">
      <c r="A148" s="3">
        <v>147</v>
      </c>
      <c r="B148" s="4" t="s">
        <v>145</v>
      </c>
      <c r="C148" s="4" t="s">
        <v>26</v>
      </c>
      <c r="D148" s="3" t="s">
        <v>9</v>
      </c>
      <c r="E148" s="5">
        <v>84</v>
      </c>
      <c r="F148" s="16">
        <v>79.8</v>
      </c>
    </row>
    <row r="149" spans="1:6" ht="20.149999999999999" customHeight="1">
      <c r="A149" s="3">
        <v>148</v>
      </c>
      <c r="B149" s="4" t="s">
        <v>121</v>
      </c>
      <c r="C149" s="4" t="s">
        <v>29</v>
      </c>
      <c r="D149" s="3" t="s">
        <v>19</v>
      </c>
      <c r="E149" s="5">
        <v>66</v>
      </c>
      <c r="F149" s="16">
        <v>42.599999999999994</v>
      </c>
    </row>
    <row r="150" spans="1:6" ht="20.149999999999999" customHeight="1">
      <c r="A150" s="3">
        <v>149</v>
      </c>
      <c r="B150" s="4" t="s">
        <v>33</v>
      </c>
      <c r="C150" s="4" t="s">
        <v>13</v>
      </c>
      <c r="D150" s="3" t="s">
        <v>14</v>
      </c>
      <c r="E150" s="5">
        <v>65.875</v>
      </c>
      <c r="F150" s="16">
        <v>56.35</v>
      </c>
    </row>
    <row r="151" spans="1:6" ht="20.149999999999999" customHeight="1">
      <c r="A151" s="3">
        <v>150</v>
      </c>
      <c r="B151" s="4" t="s">
        <v>138</v>
      </c>
      <c r="C151" s="4" t="s">
        <v>26</v>
      </c>
      <c r="D151" s="3" t="s">
        <v>39</v>
      </c>
      <c r="E151" s="5">
        <v>86</v>
      </c>
      <c r="F151" s="16">
        <v>87.199999999999989</v>
      </c>
    </row>
    <row r="152" spans="1:6" ht="20.149999999999999" customHeight="1">
      <c r="A152" s="3">
        <v>151</v>
      </c>
      <c r="B152" s="4" t="s">
        <v>160</v>
      </c>
      <c r="C152" s="4" t="s">
        <v>29</v>
      </c>
      <c r="D152" s="3" t="s">
        <v>14</v>
      </c>
      <c r="E152" s="5">
        <v>65.5</v>
      </c>
      <c r="F152" s="16">
        <v>55.424999999999997</v>
      </c>
    </row>
    <row r="153" spans="1:6" ht="20.149999999999999" customHeight="1">
      <c r="A153" s="3">
        <v>152</v>
      </c>
      <c r="B153" s="4" t="s">
        <v>183</v>
      </c>
      <c r="C153" s="4" t="s">
        <v>29</v>
      </c>
      <c r="D153" s="3" t="s">
        <v>14</v>
      </c>
      <c r="E153" s="5">
        <v>56.000000000000007</v>
      </c>
      <c r="F153" s="16">
        <v>52.1</v>
      </c>
    </row>
    <row r="154" spans="1:6" ht="20.149999999999999" customHeight="1">
      <c r="A154" s="3">
        <v>153</v>
      </c>
      <c r="B154" s="4" t="s">
        <v>230</v>
      </c>
      <c r="C154" s="4" t="s">
        <v>8</v>
      </c>
      <c r="D154" s="3" t="s">
        <v>9</v>
      </c>
      <c r="E154" s="5">
        <v>74.5</v>
      </c>
      <c r="F154" s="16">
        <v>71.8</v>
      </c>
    </row>
    <row r="155" spans="1:6" ht="20.149999999999999" customHeight="1">
      <c r="A155" s="3">
        <v>154</v>
      </c>
      <c r="B155" s="4" t="s">
        <v>67</v>
      </c>
      <c r="C155" s="4" t="s">
        <v>13</v>
      </c>
      <c r="D155" s="3" t="s">
        <v>19</v>
      </c>
      <c r="E155" s="5">
        <v>60.5</v>
      </c>
      <c r="F155" s="16">
        <v>42.2</v>
      </c>
    </row>
    <row r="156" spans="1:6" ht="20.149999999999999" customHeight="1">
      <c r="A156" s="3">
        <v>155</v>
      </c>
      <c r="B156" s="4" t="s">
        <v>167</v>
      </c>
      <c r="C156" s="4" t="s">
        <v>29</v>
      </c>
      <c r="D156" s="3" t="s">
        <v>14</v>
      </c>
      <c r="E156" s="5">
        <v>65</v>
      </c>
      <c r="F156" s="16">
        <v>55.25</v>
      </c>
    </row>
    <row r="157" spans="1:6" ht="20.149999999999999" customHeight="1">
      <c r="A157" s="3">
        <v>156</v>
      </c>
      <c r="B157" s="4" t="s">
        <v>170</v>
      </c>
      <c r="C157" s="4" t="s">
        <v>171</v>
      </c>
      <c r="D157" s="3" t="s">
        <v>14</v>
      </c>
      <c r="E157" s="5">
        <v>76.75</v>
      </c>
      <c r="F157" s="16">
        <v>63.375</v>
      </c>
    </row>
    <row r="158" spans="1:6" ht="20.149999999999999" customHeight="1">
      <c r="A158" s="3">
        <v>157</v>
      </c>
      <c r="B158" s="4" t="s">
        <v>168</v>
      </c>
      <c r="C158" s="4" t="s">
        <v>8</v>
      </c>
      <c r="D158" s="3" t="s">
        <v>14</v>
      </c>
      <c r="E158" s="5">
        <v>95.5</v>
      </c>
      <c r="F158" s="16">
        <v>68.2</v>
      </c>
    </row>
    <row r="159" spans="1:6" ht="20.149999999999999" customHeight="1">
      <c r="A159" s="3">
        <v>158</v>
      </c>
      <c r="B159" s="4" t="s">
        <v>73</v>
      </c>
      <c r="C159" s="4" t="s">
        <v>74</v>
      </c>
      <c r="D159" s="3" t="s">
        <v>14</v>
      </c>
      <c r="E159" s="5">
        <v>62.5</v>
      </c>
      <c r="F159" s="16">
        <v>56.25</v>
      </c>
    </row>
    <row r="160" spans="1:6" ht="20.149999999999999" customHeight="1">
      <c r="A160" s="3">
        <v>159</v>
      </c>
      <c r="B160" s="4" t="s">
        <v>166</v>
      </c>
      <c r="C160" s="4" t="s">
        <v>45</v>
      </c>
      <c r="D160" s="3" t="s">
        <v>14</v>
      </c>
      <c r="E160" s="5">
        <v>67.625</v>
      </c>
      <c r="F160" s="16">
        <v>56.168750000000003</v>
      </c>
    </row>
    <row r="161" spans="1:6" ht="20.149999999999999" customHeight="1">
      <c r="A161" s="3">
        <v>160</v>
      </c>
      <c r="B161" s="4" t="s">
        <v>137</v>
      </c>
      <c r="C161" s="4" t="s">
        <v>26</v>
      </c>
      <c r="D161" s="3" t="s">
        <v>19</v>
      </c>
      <c r="E161" s="5">
        <v>70.5</v>
      </c>
      <c r="F161" s="16">
        <v>58.349999999999994</v>
      </c>
    </row>
    <row r="162" spans="1:6" ht="20.149999999999999" customHeight="1">
      <c r="A162" s="3">
        <v>161</v>
      </c>
      <c r="B162" s="4" t="s">
        <v>31</v>
      </c>
      <c r="C162" s="17" t="s">
        <v>96</v>
      </c>
      <c r="D162" s="3" t="s">
        <v>14</v>
      </c>
      <c r="E162" s="5">
        <v>72.75</v>
      </c>
      <c r="F162" s="16">
        <v>63.65</v>
      </c>
    </row>
    <row r="163" spans="1:6" ht="20.149999999999999" customHeight="1">
      <c r="A163" s="3">
        <v>162</v>
      </c>
      <c r="B163" s="4" t="s">
        <v>165</v>
      </c>
      <c r="C163" s="4" t="s">
        <v>29</v>
      </c>
      <c r="D163" s="3" t="s">
        <v>19</v>
      </c>
      <c r="E163" s="5">
        <v>39.875</v>
      </c>
      <c r="F163" s="16">
        <v>33.456249999999997</v>
      </c>
    </row>
    <row r="164" spans="1:6" ht="20.149999999999999" customHeight="1">
      <c r="A164" s="3">
        <v>163</v>
      </c>
      <c r="B164" s="4" t="s">
        <v>63</v>
      </c>
      <c r="C164" s="4" t="s">
        <v>23</v>
      </c>
      <c r="D164" s="3" t="s">
        <v>14</v>
      </c>
      <c r="E164" s="5">
        <v>48.75</v>
      </c>
      <c r="F164" s="16">
        <v>49.125</v>
      </c>
    </row>
    <row r="165" spans="1:6" ht="20.149999999999999" customHeight="1">
      <c r="A165" s="3">
        <v>164</v>
      </c>
      <c r="B165" s="4" t="s">
        <v>72</v>
      </c>
      <c r="C165" s="4" t="s">
        <v>29</v>
      </c>
      <c r="D165" s="3" t="s">
        <v>14</v>
      </c>
      <c r="E165" s="5">
        <v>49</v>
      </c>
      <c r="F165" s="16">
        <v>49.65</v>
      </c>
    </row>
    <row r="166" spans="1:6" ht="20.149999999999999" customHeight="1">
      <c r="A166" s="3">
        <v>165</v>
      </c>
      <c r="B166" s="4" t="s">
        <v>136</v>
      </c>
      <c r="C166" s="4" t="s">
        <v>26</v>
      </c>
      <c r="D166" s="3" t="s">
        <v>9</v>
      </c>
      <c r="E166" s="5">
        <v>84.5</v>
      </c>
      <c r="F166" s="16">
        <v>80.150000000000006</v>
      </c>
    </row>
    <row r="167" spans="1:6" ht="20.149999999999999" customHeight="1">
      <c r="A167" s="3">
        <v>166</v>
      </c>
      <c r="B167" s="4" t="s">
        <v>199</v>
      </c>
      <c r="C167" s="4" t="s">
        <v>29</v>
      </c>
      <c r="D167" s="3" t="s">
        <v>19</v>
      </c>
      <c r="E167" s="5">
        <v>47.25</v>
      </c>
      <c r="F167" s="16">
        <v>36.037499999999994</v>
      </c>
    </row>
    <row r="168" spans="1:6" ht="20.149999999999999" customHeight="1">
      <c r="A168" s="3">
        <v>167</v>
      </c>
      <c r="B168" s="4" t="s">
        <v>131</v>
      </c>
      <c r="C168" s="4" t="s">
        <v>23</v>
      </c>
      <c r="D168" s="3" t="s">
        <v>9</v>
      </c>
      <c r="E168" s="5">
        <v>91.75</v>
      </c>
      <c r="F168" s="16">
        <v>85.224999999999994</v>
      </c>
    </row>
    <row r="169" spans="1:6" ht="20.149999999999999" customHeight="1">
      <c r="A169" s="3">
        <v>168</v>
      </c>
      <c r="B169" s="4" t="s">
        <v>88</v>
      </c>
      <c r="C169" s="4" t="s">
        <v>37</v>
      </c>
      <c r="D169" s="3" t="s">
        <v>9</v>
      </c>
      <c r="E169" s="5">
        <v>72.875</v>
      </c>
      <c r="F169" s="16">
        <v>70.862499999999997</v>
      </c>
    </row>
    <row r="170" spans="1:6" ht="20.149999999999999" customHeight="1">
      <c r="A170" s="3">
        <v>169</v>
      </c>
      <c r="B170" s="4" t="s">
        <v>98</v>
      </c>
      <c r="C170" s="4" t="s">
        <v>23</v>
      </c>
      <c r="D170" s="3" t="s">
        <v>9</v>
      </c>
      <c r="E170" s="5">
        <v>71.875</v>
      </c>
      <c r="F170" s="16">
        <v>71.3125</v>
      </c>
    </row>
    <row r="171" spans="1:6" ht="20.149999999999999" customHeight="1">
      <c r="A171" s="3">
        <v>170</v>
      </c>
      <c r="B171" s="4" t="s">
        <v>62</v>
      </c>
      <c r="C171" s="4" t="s">
        <v>29</v>
      </c>
      <c r="D171" s="3" t="s">
        <v>14</v>
      </c>
      <c r="E171" s="5">
        <v>53.75</v>
      </c>
      <c r="F171" s="16">
        <v>51.3125</v>
      </c>
    </row>
    <row r="172" spans="1:6" ht="20.149999999999999" customHeight="1">
      <c r="A172" s="3">
        <v>171</v>
      </c>
      <c r="B172" s="4" t="s">
        <v>24</v>
      </c>
      <c r="C172" s="4" t="s">
        <v>23</v>
      </c>
      <c r="D172" s="3" t="s">
        <v>14</v>
      </c>
      <c r="E172" s="5">
        <v>62</v>
      </c>
      <c r="F172" s="16">
        <v>58.4</v>
      </c>
    </row>
    <row r="173" spans="1:6" ht="20.149999999999999" customHeight="1">
      <c r="A173" s="3">
        <v>172</v>
      </c>
      <c r="B173" s="4" t="s">
        <v>190</v>
      </c>
      <c r="C173" s="4" t="s">
        <v>29</v>
      </c>
      <c r="D173" s="3" t="s">
        <v>19</v>
      </c>
      <c r="E173" s="5">
        <v>66.875</v>
      </c>
      <c r="F173" s="16">
        <v>42.90625</v>
      </c>
    </row>
    <row r="174" spans="1:6" ht="20.149999999999999" customHeight="1">
      <c r="A174" s="3">
        <v>173</v>
      </c>
      <c r="B174" s="4" t="s">
        <v>77</v>
      </c>
      <c r="C174" s="4" t="s">
        <v>96</v>
      </c>
      <c r="D174" s="3" t="s">
        <v>14</v>
      </c>
      <c r="E174" s="5">
        <v>60</v>
      </c>
      <c r="F174" s="16">
        <v>56</v>
      </c>
    </row>
    <row r="175" spans="1:6" ht="20.149999999999999" customHeight="1">
      <c r="A175" s="3">
        <v>174</v>
      </c>
      <c r="B175" s="4" t="s">
        <v>94</v>
      </c>
      <c r="C175" s="4" t="s">
        <v>37</v>
      </c>
      <c r="D175" s="3" t="s">
        <v>14</v>
      </c>
      <c r="E175" s="5">
        <v>39.875</v>
      </c>
      <c r="F175" s="16">
        <v>46.962499999999999</v>
      </c>
    </row>
    <row r="176" spans="1:6" ht="20.149999999999999" customHeight="1">
      <c r="A176" s="3">
        <v>175</v>
      </c>
      <c r="B176" s="4" t="s">
        <v>231</v>
      </c>
      <c r="C176" s="4" t="s">
        <v>8</v>
      </c>
      <c r="D176" s="3" t="s">
        <v>19</v>
      </c>
      <c r="E176" s="5">
        <v>55.999999999999993</v>
      </c>
      <c r="F176" s="16">
        <v>40.4</v>
      </c>
    </row>
    <row r="177" spans="1:6" ht="20.149999999999999" customHeight="1">
      <c r="A177" s="3">
        <v>176</v>
      </c>
      <c r="B177" s="4" t="s">
        <v>189</v>
      </c>
      <c r="C177" s="4" t="s">
        <v>35</v>
      </c>
      <c r="D177" s="3" t="s">
        <v>14</v>
      </c>
      <c r="E177" s="5">
        <v>74.75</v>
      </c>
      <c r="F177" s="16">
        <v>59.900000000000006</v>
      </c>
    </row>
    <row r="178" spans="1:6" ht="20.149999999999999" customHeight="1">
      <c r="A178" s="3">
        <v>177</v>
      </c>
      <c r="B178" s="4" t="s">
        <v>204</v>
      </c>
      <c r="C178" s="4" t="s">
        <v>13</v>
      </c>
      <c r="D178" s="3" t="s">
        <v>14</v>
      </c>
      <c r="E178" s="5">
        <v>76.25</v>
      </c>
      <c r="F178" s="16">
        <v>60.5</v>
      </c>
    </row>
    <row r="179" spans="1:6" ht="20.149999999999999" customHeight="1">
      <c r="A179" s="3">
        <v>178</v>
      </c>
      <c r="B179" s="4" t="s">
        <v>228</v>
      </c>
      <c r="C179" s="4" t="s">
        <v>26</v>
      </c>
      <c r="D179" s="3" t="s">
        <v>19</v>
      </c>
      <c r="E179" s="5">
        <v>75</v>
      </c>
      <c r="F179" s="16">
        <v>61.5</v>
      </c>
    </row>
    <row r="180" spans="1:6" ht="20.149999999999999" customHeight="1">
      <c r="A180" s="3">
        <v>179</v>
      </c>
      <c r="B180" s="4" t="s">
        <v>85</v>
      </c>
      <c r="C180" s="4" t="s">
        <v>13</v>
      </c>
      <c r="D180" s="3" t="s">
        <v>19</v>
      </c>
      <c r="E180" s="5">
        <v>63.5</v>
      </c>
      <c r="F180" s="16">
        <v>43.400000000000006</v>
      </c>
    </row>
    <row r="181" spans="1:6" ht="20.149999999999999" customHeight="1">
      <c r="A181" s="3">
        <v>180</v>
      </c>
      <c r="B181" s="4" t="s">
        <v>126</v>
      </c>
      <c r="C181" s="4" t="s">
        <v>23</v>
      </c>
      <c r="D181" s="3" t="s">
        <v>14</v>
      </c>
      <c r="E181" s="5">
        <v>75</v>
      </c>
      <c r="F181" s="16">
        <v>67.5</v>
      </c>
    </row>
    <row r="182" spans="1:6" ht="20.149999999999999" customHeight="1">
      <c r="A182" s="3">
        <v>181</v>
      </c>
      <c r="B182" s="4" t="s">
        <v>44</v>
      </c>
      <c r="C182" s="4" t="s">
        <v>45</v>
      </c>
      <c r="D182" s="3" t="s">
        <v>19</v>
      </c>
      <c r="E182" s="5">
        <v>70.875</v>
      </c>
      <c r="F182" s="16">
        <v>44.306249999999999</v>
      </c>
    </row>
    <row r="183" spans="1:6" ht="20.149999999999999" customHeight="1">
      <c r="A183" s="3">
        <v>182</v>
      </c>
      <c r="B183" s="4" t="s">
        <v>51</v>
      </c>
      <c r="C183" s="4" t="s">
        <v>37</v>
      </c>
      <c r="D183" s="3" t="s">
        <v>19</v>
      </c>
      <c r="E183" s="5">
        <v>54</v>
      </c>
      <c r="F183" s="16">
        <v>37.200000000000003</v>
      </c>
    </row>
    <row r="184" spans="1:6" ht="20.149999999999999" customHeight="1">
      <c r="A184" s="3">
        <v>183</v>
      </c>
      <c r="B184" s="4" t="s">
        <v>71</v>
      </c>
      <c r="C184" s="4" t="s">
        <v>35</v>
      </c>
      <c r="D184" s="3" t="s">
        <v>19</v>
      </c>
      <c r="E184" s="5">
        <v>59</v>
      </c>
      <c r="F184" s="16">
        <v>41.6</v>
      </c>
    </row>
    <row r="185" spans="1:6" ht="20.149999999999999" customHeight="1">
      <c r="A185" s="3">
        <v>184</v>
      </c>
      <c r="B185" s="4" t="s">
        <v>132</v>
      </c>
      <c r="C185" s="4" t="s">
        <v>23</v>
      </c>
      <c r="D185" s="3" t="s">
        <v>19</v>
      </c>
      <c r="E185" s="5">
        <v>63.249999999999993</v>
      </c>
      <c r="F185" s="16">
        <v>53.274999999999991</v>
      </c>
    </row>
    <row r="186" spans="1:6" ht="20.149999999999999" customHeight="1">
      <c r="A186" s="3">
        <v>185</v>
      </c>
      <c r="B186" s="4" t="s">
        <v>38</v>
      </c>
      <c r="C186" s="4" t="s">
        <v>35</v>
      </c>
      <c r="D186" s="3" t="s">
        <v>39</v>
      </c>
      <c r="E186" s="5">
        <v>84</v>
      </c>
      <c r="F186" s="16">
        <v>87.6</v>
      </c>
    </row>
    <row r="187" spans="1:6" ht="20.149999999999999" customHeight="1">
      <c r="A187" s="3">
        <v>186</v>
      </c>
      <c r="B187" s="4" t="s">
        <v>70</v>
      </c>
      <c r="C187" s="4" t="s">
        <v>45</v>
      </c>
      <c r="D187" s="3" t="s">
        <v>14</v>
      </c>
      <c r="E187" s="5">
        <v>57.75</v>
      </c>
      <c r="F187" s="16">
        <v>52.712499999999999</v>
      </c>
    </row>
    <row r="188" spans="1:6" ht="20.149999999999999" customHeight="1">
      <c r="A188" s="3">
        <v>187</v>
      </c>
      <c r="B188" s="4" t="s">
        <v>135</v>
      </c>
      <c r="C188" s="4" t="s">
        <v>26</v>
      </c>
      <c r="D188" s="3" t="s">
        <v>39</v>
      </c>
      <c r="E188" s="5">
        <v>88.5</v>
      </c>
      <c r="F188" s="16">
        <v>88.949999999999989</v>
      </c>
    </row>
    <row r="189" spans="1:6" ht="20.149999999999999" customHeight="1">
      <c r="A189" s="3">
        <v>188</v>
      </c>
      <c r="B189" s="4" t="s">
        <v>12</v>
      </c>
      <c r="C189" s="4" t="s">
        <v>13</v>
      </c>
      <c r="D189" s="3" t="s">
        <v>14</v>
      </c>
      <c r="E189" s="5">
        <v>69.125</v>
      </c>
      <c r="F189" s="16">
        <v>57.650000000000006</v>
      </c>
    </row>
    <row r="190" spans="1:6" ht="20.149999999999999" customHeight="1">
      <c r="A190" s="3">
        <v>189</v>
      </c>
      <c r="B190" s="4" t="s">
        <v>157</v>
      </c>
      <c r="C190" s="4" t="s">
        <v>158</v>
      </c>
      <c r="D190" s="3" t="s">
        <v>19</v>
      </c>
      <c r="E190" s="5">
        <v>60.25</v>
      </c>
      <c r="F190" s="16">
        <v>43.612499999999997</v>
      </c>
    </row>
    <row r="191" spans="1:6" ht="20.149999999999999" customHeight="1">
      <c r="A191" s="3">
        <v>190</v>
      </c>
      <c r="B191" s="4" t="s">
        <v>216</v>
      </c>
      <c r="C191" s="4" t="s">
        <v>13</v>
      </c>
      <c r="D191" s="3" t="s">
        <v>9</v>
      </c>
      <c r="E191" s="5">
        <v>74.75</v>
      </c>
      <c r="F191" s="16">
        <v>71.900000000000006</v>
      </c>
    </row>
    <row r="192" spans="1:6" ht="20.149999999999999" customHeight="1">
      <c r="A192" s="3">
        <v>191</v>
      </c>
      <c r="B192" s="4" t="s">
        <v>146</v>
      </c>
      <c r="C192" s="4" t="s">
        <v>45</v>
      </c>
      <c r="D192" s="3" t="s">
        <v>14</v>
      </c>
      <c r="E192" s="5">
        <v>65.25</v>
      </c>
      <c r="F192" s="16">
        <v>55.337499999999999</v>
      </c>
    </row>
    <row r="193" spans="1:6" ht="20.149999999999999" customHeight="1">
      <c r="A193" s="3">
        <v>192</v>
      </c>
      <c r="B193" s="4" t="s">
        <v>66</v>
      </c>
      <c r="C193" s="4" t="s">
        <v>45</v>
      </c>
      <c r="D193" s="3" t="s">
        <v>14</v>
      </c>
      <c r="E193" s="5">
        <v>57.75</v>
      </c>
      <c r="F193" s="16">
        <v>52.712499999999999</v>
      </c>
    </row>
    <row r="194" spans="1:6" ht="20.149999999999999" customHeight="1">
      <c r="A194" s="3">
        <v>193</v>
      </c>
      <c r="B194" s="8" t="s">
        <v>16</v>
      </c>
      <c r="C194" s="8" t="s">
        <v>8</v>
      </c>
      <c r="D194" s="7" t="s">
        <v>14</v>
      </c>
      <c r="E194" s="9">
        <v>60.124999999999993</v>
      </c>
      <c r="F194" s="16">
        <v>54.05</v>
      </c>
    </row>
    <row r="195" spans="1:6" ht="20.149999999999999" customHeight="1"/>
    <row r="196" spans="1:6" ht="20.149999999999999" customHeight="1"/>
    <row r="197" spans="1:6" ht="20.149999999999999" customHeight="1"/>
    <row r="198" spans="1:6" ht="20.149999999999999" customHeight="1"/>
    <row r="199" spans="1:6" ht="20.149999999999999" customHeight="1"/>
    <row r="200" spans="1:6" ht="20.149999999999999" customHeight="1"/>
    <row r="201" spans="1:6" ht="20.149999999999999" customHeight="1"/>
    <row r="202" spans="1:6" ht="20.149999999999999" customHeight="1"/>
  </sheetData>
  <autoFilter ref="A1:F194" xr:uid="{999545C4-74C8-44C1-A52A-F09D75E01E85}"/>
  <sortState xmlns:xlrd2="http://schemas.microsoft.com/office/spreadsheetml/2017/richdata2" ref="A2:F194">
    <sortCondition ref="B2:B19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1EB4-809E-47F5-B3BE-38C10EED6923}">
  <dimension ref="A1:E42"/>
  <sheetViews>
    <sheetView workbookViewId="0">
      <selection activeCell="E10" sqref="E10"/>
    </sheetView>
  </sheetViews>
  <sheetFormatPr defaultRowHeight="14.5"/>
  <cols>
    <col min="1" max="1" width="17.1796875" customWidth="1"/>
    <col min="2" max="2" width="26.81640625" customWidth="1"/>
    <col min="3" max="3" width="17.1796875" customWidth="1"/>
    <col min="4" max="4" width="15" customWidth="1"/>
    <col min="5" max="5" width="26.7265625" style="20" customWidth="1"/>
  </cols>
  <sheetData>
    <row r="1" spans="1:5">
      <c r="A1" t="s">
        <v>241</v>
      </c>
      <c r="B1" t="s">
        <v>242</v>
      </c>
      <c r="C1" t="s">
        <v>243</v>
      </c>
      <c r="D1" t="s">
        <v>244</v>
      </c>
      <c r="E1" s="20" t="s">
        <v>256</v>
      </c>
    </row>
    <row r="2" spans="1:5">
      <c r="A2" t="s">
        <v>175</v>
      </c>
      <c r="B2" t="s">
        <v>245</v>
      </c>
      <c r="C2">
        <v>87.3</v>
      </c>
      <c r="D2" s="19">
        <v>0.1</v>
      </c>
      <c r="E2" s="21">
        <f>VLOOKUP(A2,'Assessment Scores'!$B$2:$K$194,10, FALSE)</f>
        <v>88.8</v>
      </c>
    </row>
    <row r="3" spans="1:5">
      <c r="A3" t="s">
        <v>133</v>
      </c>
      <c r="B3" t="s">
        <v>246</v>
      </c>
      <c r="C3">
        <v>86.7</v>
      </c>
      <c r="D3" s="19">
        <v>6.5000000000000002E-2</v>
      </c>
      <c r="E3" s="21">
        <f>VLOOKUP(A3,'Assessment Scores'!$B$2:$K$194,10, FALSE)</f>
        <v>90.174999999999997</v>
      </c>
    </row>
    <row r="4" spans="1:5">
      <c r="A4" t="s">
        <v>140</v>
      </c>
      <c r="B4" t="s">
        <v>247</v>
      </c>
      <c r="C4">
        <v>81.099999999999994</v>
      </c>
      <c r="D4" s="19">
        <v>5.8999999999999997E-2</v>
      </c>
      <c r="E4" s="21">
        <f>VLOOKUP(A4,'Assessment Scores'!$B$2:$K$194,10, FALSE)</f>
        <v>81.025000000000006</v>
      </c>
    </row>
    <row r="5" spans="1:5">
      <c r="A5" t="s">
        <v>149</v>
      </c>
      <c r="B5" t="s">
        <v>247</v>
      </c>
      <c r="C5">
        <v>59.7</v>
      </c>
      <c r="D5" s="19">
        <v>5.8000000000000003E-2</v>
      </c>
      <c r="E5" s="21">
        <f>VLOOKUP(A5,'Assessment Scores'!$B$2:$K$194,10, FALSE)</f>
        <v>59.712500000000006</v>
      </c>
    </row>
    <row r="6" spans="1:5">
      <c r="A6" t="s">
        <v>145</v>
      </c>
      <c r="B6" t="s">
        <v>247</v>
      </c>
      <c r="C6">
        <v>77.2</v>
      </c>
      <c r="D6" s="19">
        <v>5.2999999999999999E-2</v>
      </c>
      <c r="E6" s="21">
        <f>VLOOKUP(A6,'Assessment Scores'!$B$2:$K$194,10, FALSE)</f>
        <v>79.8</v>
      </c>
    </row>
    <row r="7" spans="1:5">
      <c r="A7" t="s">
        <v>150</v>
      </c>
      <c r="B7" t="s">
        <v>247</v>
      </c>
      <c r="C7">
        <v>75.7</v>
      </c>
      <c r="D7" s="19">
        <v>0.05</v>
      </c>
      <c r="E7" s="21">
        <f>VLOOKUP(A7,'Assessment Scores'!$B$2:$K$194,10, FALSE)</f>
        <v>75.6875</v>
      </c>
    </row>
    <row r="8" spans="1:5">
      <c r="A8" t="s">
        <v>44</v>
      </c>
      <c r="B8" t="s">
        <v>248</v>
      </c>
      <c r="C8">
        <v>56.3</v>
      </c>
      <c r="D8" s="19">
        <v>4.9000000000000002E-2</v>
      </c>
      <c r="E8" s="21">
        <f>VLOOKUP(A8,'Assessment Scores'!$B$2:$K$194,10, FALSE)</f>
        <v>44.306249999999999</v>
      </c>
    </row>
    <row r="9" spans="1:5">
      <c r="A9" t="s">
        <v>156</v>
      </c>
      <c r="B9" t="s">
        <v>249</v>
      </c>
      <c r="C9">
        <v>90.8</v>
      </c>
      <c r="D9" s="19">
        <v>4.8000000000000001E-2</v>
      </c>
      <c r="E9" s="21">
        <f>VLOOKUP(A9,'Assessment Scores'!$B$2:$K$194,10, FALSE)</f>
        <v>90.800000000000011</v>
      </c>
    </row>
    <row r="10" spans="1:5">
      <c r="A10" t="s">
        <v>216</v>
      </c>
      <c r="B10" t="s">
        <v>250</v>
      </c>
      <c r="C10">
        <v>71.900000000000006</v>
      </c>
      <c r="D10" s="19">
        <v>4.2000000000000003E-2</v>
      </c>
      <c r="E10" s="21">
        <f>VLOOKUP(A10,'Assessment Scores'!$B$2:$K$194,10, FALSE)</f>
        <v>71.900000000000006</v>
      </c>
    </row>
    <row r="11" spans="1:5">
      <c r="A11" t="s">
        <v>224</v>
      </c>
      <c r="B11" t="s">
        <v>248</v>
      </c>
      <c r="C11">
        <v>44.5</v>
      </c>
      <c r="D11" s="19">
        <v>3.9E-2</v>
      </c>
      <c r="E11" s="21">
        <f>VLOOKUP(A11,'Assessment Scores'!$B$2:$K$194,10, FALSE)</f>
        <v>44.437499999999993</v>
      </c>
    </row>
    <row r="12" spans="1:5">
      <c r="A12" t="s">
        <v>148</v>
      </c>
      <c r="B12" t="s">
        <v>247</v>
      </c>
      <c r="C12">
        <v>73.7</v>
      </c>
      <c r="D12" s="19">
        <v>3.5999999999999997E-2</v>
      </c>
      <c r="E12" s="21">
        <f>VLOOKUP(A12,'Assessment Scores'!$B$2:$K$194,10, FALSE)</f>
        <v>73.674999999999997</v>
      </c>
    </row>
    <row r="13" spans="1:5">
      <c r="A13" t="s">
        <v>126</v>
      </c>
      <c r="B13" t="s">
        <v>246</v>
      </c>
      <c r="C13">
        <v>67.5</v>
      </c>
      <c r="D13" s="19">
        <v>3.5000000000000003E-2</v>
      </c>
      <c r="E13" s="21">
        <f>VLOOKUP(A13,'Assessment Scores'!$B$2:$K$194,10, FALSE)</f>
        <v>67.5</v>
      </c>
    </row>
    <row r="14" spans="1:5">
      <c r="A14" t="s">
        <v>136</v>
      </c>
      <c r="B14" t="s">
        <v>247</v>
      </c>
      <c r="C14">
        <v>80.2</v>
      </c>
      <c r="D14" s="19">
        <v>3.3000000000000002E-2</v>
      </c>
      <c r="E14" s="21">
        <f>VLOOKUP(A14,'Assessment Scores'!$B$2:$K$194,10, FALSE)</f>
        <v>80.150000000000006</v>
      </c>
    </row>
    <row r="15" spans="1:5">
      <c r="A15" t="s">
        <v>210</v>
      </c>
      <c r="B15" t="s">
        <v>250</v>
      </c>
      <c r="C15">
        <v>59.9</v>
      </c>
      <c r="D15" s="19">
        <v>3.1E-2</v>
      </c>
      <c r="E15" s="21">
        <f>VLOOKUP(A15,'Assessment Scores'!$B$2:$K$194,10, FALSE)</f>
        <v>59.900000000000006</v>
      </c>
    </row>
    <row r="16" spans="1:5">
      <c r="A16" t="s">
        <v>154</v>
      </c>
      <c r="B16" t="s">
        <v>247</v>
      </c>
      <c r="C16">
        <v>74.099999999999994</v>
      </c>
      <c r="D16" s="19">
        <v>2.3E-2</v>
      </c>
      <c r="E16" s="21">
        <f>VLOOKUP(A16,'Assessment Scores'!$B$2:$K$194,10, FALSE)</f>
        <v>74.025000000000006</v>
      </c>
    </row>
    <row r="17" spans="1:5">
      <c r="A17" t="s">
        <v>142</v>
      </c>
      <c r="B17" t="s">
        <v>251</v>
      </c>
      <c r="C17">
        <v>73.400000000000006</v>
      </c>
      <c r="D17" s="19">
        <v>2.1999999999999999E-2</v>
      </c>
      <c r="E17" s="21">
        <f>VLOOKUP(A17,'Assessment Scores'!$B$2:$K$194,10, FALSE)</f>
        <v>73.412499999999994</v>
      </c>
    </row>
    <row r="18" spans="1:5">
      <c r="A18" t="s">
        <v>144</v>
      </c>
      <c r="B18" t="s">
        <v>247</v>
      </c>
      <c r="C18">
        <v>66.099999999999994</v>
      </c>
      <c r="D18" s="19">
        <v>2.1999999999999999E-2</v>
      </c>
      <c r="E18" s="21">
        <f>VLOOKUP(A18,'Assessment Scores'!$B$2:$K$194,10, FALSE)</f>
        <v>66.099999999999994</v>
      </c>
    </row>
    <row r="19" spans="1:5">
      <c r="A19" t="s">
        <v>143</v>
      </c>
      <c r="B19" t="s">
        <v>247</v>
      </c>
      <c r="C19">
        <v>85.8</v>
      </c>
      <c r="D19" s="19">
        <v>2.1000000000000001E-2</v>
      </c>
      <c r="E19" s="21">
        <f>VLOOKUP(A19,'Assessment Scores'!$B$2:$K$194,10, FALSE)</f>
        <v>85.75</v>
      </c>
    </row>
    <row r="20" spans="1:5">
      <c r="A20" t="s">
        <v>155</v>
      </c>
      <c r="B20" t="s">
        <v>247</v>
      </c>
      <c r="C20">
        <v>74.900000000000006</v>
      </c>
      <c r="D20" s="19">
        <v>1.7999999999999999E-2</v>
      </c>
      <c r="E20" s="21">
        <f>VLOOKUP(A20,'Assessment Scores'!$B$2:$K$194,10, FALSE)</f>
        <v>74.900000000000006</v>
      </c>
    </row>
    <row r="21" spans="1:5">
      <c r="A21" t="s">
        <v>147</v>
      </c>
      <c r="B21" t="s">
        <v>246</v>
      </c>
      <c r="C21">
        <v>73.2</v>
      </c>
      <c r="D21" s="19">
        <v>1.4999999999999999E-2</v>
      </c>
      <c r="E21" s="21">
        <f>VLOOKUP(A21,'Assessment Scores'!$B$2:$K$194,10, FALSE)</f>
        <v>73.150000000000006</v>
      </c>
    </row>
    <row r="22" spans="1:5">
      <c r="A22" t="s">
        <v>215</v>
      </c>
      <c r="B22" t="s">
        <v>252</v>
      </c>
      <c r="C22">
        <v>57</v>
      </c>
      <c r="D22" s="19">
        <v>1.4999999999999999E-2</v>
      </c>
      <c r="E22" s="21">
        <f>VLOOKUP(A22,'Assessment Scores'!$B$2:$K$194,10, FALSE)</f>
        <v>56.9375</v>
      </c>
    </row>
    <row r="23" spans="1:5">
      <c r="A23" t="s">
        <v>79</v>
      </c>
      <c r="B23" t="s">
        <v>253</v>
      </c>
      <c r="C23">
        <v>38.4</v>
      </c>
      <c r="D23" s="19">
        <v>1.4E-2</v>
      </c>
      <c r="E23" s="21">
        <f>VLOOKUP(A23,'Assessment Scores'!$B$2:$K$194,10, FALSE)</f>
        <v>38.35</v>
      </c>
    </row>
    <row r="24" spans="1:5">
      <c r="A24" t="s">
        <v>183</v>
      </c>
      <c r="B24" t="s">
        <v>254</v>
      </c>
      <c r="C24">
        <v>52.1</v>
      </c>
      <c r="D24" s="19">
        <v>1.4E-2</v>
      </c>
      <c r="E24" s="21">
        <f>VLOOKUP(A24,'Assessment Scores'!$B$2:$K$194,10, FALSE)</f>
        <v>52.1</v>
      </c>
    </row>
    <row r="25" spans="1:5">
      <c r="A25" t="s">
        <v>151</v>
      </c>
      <c r="B25" t="s">
        <v>247</v>
      </c>
      <c r="C25">
        <v>70.2</v>
      </c>
      <c r="D25" s="19">
        <v>1.4E-2</v>
      </c>
      <c r="E25" s="21">
        <f>VLOOKUP(A25,'Assessment Scores'!$B$2:$K$194,10, FALSE)</f>
        <v>70.212500000000006</v>
      </c>
    </row>
    <row r="26" spans="1:5">
      <c r="A26" t="s">
        <v>84</v>
      </c>
      <c r="B26" t="s">
        <v>250</v>
      </c>
      <c r="C26">
        <v>57</v>
      </c>
      <c r="D26" s="19">
        <v>1.2E-2</v>
      </c>
      <c r="E26" s="21">
        <f>VLOOKUP(A26,'Assessment Scores'!$B$2:$K$194,10, FALSE)</f>
        <v>46.1</v>
      </c>
    </row>
    <row r="27" spans="1:5">
      <c r="A27" t="s">
        <v>152</v>
      </c>
      <c r="B27" t="s">
        <v>247</v>
      </c>
      <c r="C27">
        <v>61.9</v>
      </c>
      <c r="D27" s="19">
        <v>1.2E-2</v>
      </c>
      <c r="E27" s="21">
        <f>VLOOKUP(A27,'Assessment Scores'!$B$2:$K$194,10, FALSE)</f>
        <v>61.9375</v>
      </c>
    </row>
    <row r="28" spans="1:5">
      <c r="A28" t="s">
        <v>176</v>
      </c>
      <c r="B28" t="s">
        <v>254</v>
      </c>
      <c r="C28">
        <v>53.8</v>
      </c>
      <c r="D28" s="19">
        <v>1.2E-2</v>
      </c>
      <c r="E28" s="21">
        <f>VLOOKUP(A28,'Assessment Scores'!$B$2:$K$194,10, FALSE)</f>
        <v>55.337500000000006</v>
      </c>
    </row>
    <row r="29" spans="1:5">
      <c r="A29" t="s">
        <v>28</v>
      </c>
      <c r="B29" t="s">
        <v>254</v>
      </c>
      <c r="C29">
        <v>55.8</v>
      </c>
      <c r="D29" s="19">
        <v>0.01</v>
      </c>
      <c r="E29" s="21">
        <f>VLOOKUP(A29,'Assessment Scores'!$B$2:$K$194,10, FALSE)</f>
        <v>55.512500000000003</v>
      </c>
    </row>
    <row r="30" spans="1:5">
      <c r="A30" t="s">
        <v>86</v>
      </c>
      <c r="B30" t="s">
        <v>253</v>
      </c>
      <c r="C30">
        <v>57.4</v>
      </c>
      <c r="D30" s="19">
        <v>8.9999999999999993E-3</v>
      </c>
      <c r="E30" s="21">
        <f>VLOOKUP(A30,'Assessment Scores'!$B$2:$K$194,10, FALSE)</f>
        <v>57.400000000000006</v>
      </c>
    </row>
    <row r="31" spans="1:5">
      <c r="A31" t="s">
        <v>184</v>
      </c>
      <c r="B31" t="s">
        <v>252</v>
      </c>
      <c r="C31">
        <v>53.6</v>
      </c>
      <c r="D31" s="19">
        <v>8.9999999999999993E-3</v>
      </c>
      <c r="E31" s="21">
        <f>VLOOKUP(A31,'Assessment Scores'!$B$2:$K$194,10, FALSE)</f>
        <v>53.625</v>
      </c>
    </row>
    <row r="32" spans="1:5">
      <c r="A32" t="s">
        <v>82</v>
      </c>
      <c r="B32" t="s">
        <v>248</v>
      </c>
      <c r="C32">
        <v>55.8</v>
      </c>
      <c r="D32" s="19">
        <v>8.9999999999999993E-3</v>
      </c>
      <c r="E32" s="21">
        <f>VLOOKUP(A32,'Assessment Scores'!$B$2:$K$194,10, FALSE)</f>
        <v>57.568749999999994</v>
      </c>
    </row>
    <row r="33" spans="1:5">
      <c r="A33" t="s">
        <v>97</v>
      </c>
      <c r="B33" t="s">
        <v>254</v>
      </c>
      <c r="C33">
        <v>73.3</v>
      </c>
      <c r="D33" s="19">
        <v>8.0000000000000002E-3</v>
      </c>
      <c r="E33" s="21">
        <f>VLOOKUP(A33,'Assessment Scores'!$B$2:$K$194,10, FALSE)</f>
        <v>73.325000000000003</v>
      </c>
    </row>
    <row r="34" spans="1:5">
      <c r="A34" t="s">
        <v>42</v>
      </c>
      <c r="B34" t="s">
        <v>252</v>
      </c>
      <c r="C34">
        <v>57</v>
      </c>
      <c r="D34" s="19">
        <v>7.0000000000000001E-3</v>
      </c>
      <c r="E34" s="21">
        <f>VLOOKUP(A34,'Assessment Scores'!$B$2:$K$194,10, FALSE)</f>
        <v>70.625</v>
      </c>
    </row>
    <row r="35" spans="1:5">
      <c r="A35" t="s">
        <v>95</v>
      </c>
      <c r="B35" t="s">
        <v>245</v>
      </c>
      <c r="C35">
        <v>62.2</v>
      </c>
      <c r="D35" s="19">
        <v>7.0000000000000001E-3</v>
      </c>
      <c r="E35" s="21">
        <f>VLOOKUP(A35,'Assessment Scores'!$B$2:$K$194,10, FALSE)</f>
        <v>62.15</v>
      </c>
    </row>
    <row r="36" spans="1:5">
      <c r="A36" t="s">
        <v>128</v>
      </c>
      <c r="B36" t="s">
        <v>246</v>
      </c>
      <c r="C36">
        <v>68.900000000000006</v>
      </c>
      <c r="D36" s="19">
        <v>6.0000000000000001E-3</v>
      </c>
      <c r="E36" s="21">
        <f>VLOOKUP(A36,'Assessment Scores'!$B$2:$K$194,10, FALSE)</f>
        <v>68.900000000000006</v>
      </c>
    </row>
    <row r="37" spans="1:5">
      <c r="A37" t="s">
        <v>221</v>
      </c>
      <c r="B37" t="s">
        <v>254</v>
      </c>
      <c r="C37">
        <v>50</v>
      </c>
      <c r="D37" s="19">
        <v>6.0000000000000001E-3</v>
      </c>
      <c r="E37" s="21">
        <f>VLOOKUP(A37,'Assessment Scores'!$B$2:$K$194,10, FALSE)</f>
        <v>50</v>
      </c>
    </row>
    <row r="38" spans="1:5">
      <c r="A38" t="s">
        <v>46</v>
      </c>
      <c r="B38" t="s">
        <v>253</v>
      </c>
      <c r="C38">
        <v>66.599999999999994</v>
      </c>
      <c r="D38" s="19">
        <v>6.0000000000000001E-3</v>
      </c>
      <c r="E38" s="21">
        <f>VLOOKUP(A38,'Assessment Scores'!$B$2:$K$194,10, FALSE)</f>
        <v>85.2</v>
      </c>
    </row>
    <row r="39" spans="1:5">
      <c r="A39" t="s">
        <v>181</v>
      </c>
      <c r="B39" t="s">
        <v>248</v>
      </c>
      <c r="C39">
        <v>70.5</v>
      </c>
      <c r="D39" s="19">
        <v>5.0000000000000001E-3</v>
      </c>
      <c r="E39" s="21">
        <f>VLOOKUP(A39,'Assessment Scores'!$B$2:$K$194,10, FALSE)</f>
        <v>70.4375</v>
      </c>
    </row>
    <row r="40" spans="1:5">
      <c r="A40" t="s">
        <v>168</v>
      </c>
      <c r="B40" t="s">
        <v>249</v>
      </c>
      <c r="C40">
        <v>68.2</v>
      </c>
      <c r="D40" s="19">
        <v>3.0000000000000001E-3</v>
      </c>
      <c r="E40" s="21">
        <f>VLOOKUP(A40,'Assessment Scores'!$B$2:$K$194,10, FALSE)</f>
        <v>68.2</v>
      </c>
    </row>
    <row r="41" spans="1:5">
      <c r="A41" t="s">
        <v>130</v>
      </c>
      <c r="B41" t="s">
        <v>246</v>
      </c>
      <c r="C41">
        <v>74.599999999999994</v>
      </c>
      <c r="D41" s="19">
        <v>3.0000000000000001E-3</v>
      </c>
      <c r="E41" s="21">
        <f>VLOOKUP(A41,'Assessment Scores'!$B$2:$K$194,10, FALSE)</f>
        <v>74.55</v>
      </c>
    </row>
    <row r="42" spans="1:5">
      <c r="B42" t="s">
        <v>255</v>
      </c>
      <c r="C42">
        <v>71.5</v>
      </c>
      <c r="E42" s="21" t="e">
        <f>VLOOKUP(A42,'Assessment Scores'!$B$2:$K$194,10, FALSE)</f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DB5E7C50A9945B3041B2C046486F4" ma:contentTypeVersion="15" ma:contentTypeDescription="Create a new document." ma:contentTypeScope="" ma:versionID="392a2091a62268e0ba6232624e0c1405">
  <xsd:schema xmlns:xsd="http://www.w3.org/2001/XMLSchema" xmlns:xs="http://www.w3.org/2001/XMLSchema" xmlns:p="http://schemas.microsoft.com/office/2006/metadata/properties" xmlns:ns2="4b0ec68f-0f9b-4e66-929f-60cc462616ed" xmlns:ns3="6dd7a203-552b-46f7-87d0-4bf2c379389b" targetNamespace="http://schemas.microsoft.com/office/2006/metadata/properties" ma:root="true" ma:fieldsID="a640e4dae39d839594b4e79b0d70bc58" ns2:_="" ns3:_="">
    <xsd:import namespace="4b0ec68f-0f9b-4e66-929f-60cc462616ed"/>
    <xsd:import namespace="6dd7a203-552b-46f7-87d0-4bf2c3793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ec68f-0f9b-4e66-929f-60cc46261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e0afc97-7c6a-4e00-b079-4567eaa0b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7a203-552b-46f7-87d0-4bf2c379389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0f68e56-fdfe-4e2e-ba64-81b757f93ec9}" ma:internalName="TaxCatchAll" ma:showField="CatchAllData" ma:web="6dd7a203-552b-46f7-87d0-4bf2c37938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d7a203-552b-46f7-87d0-4bf2c379389b" xsi:nil="true"/>
    <lcf76f155ced4ddcb4097134ff3c332f xmlns="4b0ec68f-0f9b-4e66-929f-60cc462616e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56BF01-C82F-4156-9D95-88AB409F01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ec68f-0f9b-4e66-929f-60cc462616ed"/>
    <ds:schemaRef ds:uri="6dd7a203-552b-46f7-87d0-4bf2c37938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9B2A40-58B3-4F1F-9F30-1A4E6BEA3E91}">
  <ds:schemaRefs>
    <ds:schemaRef ds:uri="http://purl.org/dc/elements/1.1/"/>
    <ds:schemaRef ds:uri="4b0ec68f-0f9b-4e66-929f-60cc462616ed"/>
    <ds:schemaRef ds:uri="6dd7a203-552b-46f7-87d0-4bf2c379389b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5FE8D1-E234-4BB7-868C-FBF24CE356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Assessment Scores</vt:lpstr>
      <vt:lpstr>sector-factor</vt:lpstr>
      <vt:lpstr>send</vt:lpstr>
      <vt:lpstr>ESG-ETF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2025-09-08T09:23:40Z</dcterms:created>
  <dcterms:modified xsi:type="dcterms:W3CDTF">2025-11-04T03:19:22Z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0x0101000C1DB5E7C50A9945B3041B2C046486F4</vt:lpwstr>
  </property>
  <property fmtid="{D5CDD505-2E9C-101B-9397-08002B2CF9AE}" pid="3" name="MediaServiceImageTags">
    <vt:lpwstr/>
  </property>
</Properties>
</file>