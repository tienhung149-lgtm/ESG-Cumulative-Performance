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90A0559-3941-4150-93C6-888D2EDEC7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essment 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A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494EF295-5787-4B52-B974-E5482560065D}">
      <text>
        <r>
          <rPr>
            <sz val="9"/>
            <color indexed="81"/>
            <rFont val="Tahoma"/>
            <family val="2"/>
          </rPr>
          <t>Diamond function, please click refresh to refresh data.</t>
        </r>
      </text>
    </comment>
    <comment ref="AA1" authorId="0" shapeId="0" xr:uid="{49D9532D-1AFE-421C-A16D-5A736A2967A3}">
      <text>
        <r>
          <rPr>
            <sz val="9"/>
            <color indexed="81"/>
            <rFont val="Tahoma"/>
            <charset val="1"/>
          </rPr>
          <t>Diamond function, please click refresh to refresh data.</t>
        </r>
      </text>
    </comment>
  </commentList>
</comments>
</file>

<file path=xl/sharedStrings.xml><?xml version="1.0" encoding="utf-8"?>
<sst xmlns="http://schemas.openxmlformats.org/spreadsheetml/2006/main" count="234" uniqueCount="216">
  <si>
    <t>NVL</t>
  </si>
  <si>
    <t>AGG</t>
  </si>
  <si>
    <t>MCH</t>
  </si>
  <si>
    <t>VIB</t>
  </si>
  <si>
    <t>OCB</t>
  </si>
  <si>
    <t>MSR</t>
  </si>
  <si>
    <t>CII</t>
  </si>
  <si>
    <t>MSN</t>
  </si>
  <si>
    <t>MBB</t>
  </si>
  <si>
    <t>MML</t>
  </si>
  <si>
    <t>VPB</t>
  </si>
  <si>
    <t>ACB</t>
  </si>
  <si>
    <t>GVR</t>
  </si>
  <si>
    <t>CRV</t>
  </si>
  <si>
    <t>KSF</t>
  </si>
  <si>
    <t>HNG</t>
  </si>
  <si>
    <t>DVM</t>
  </si>
  <si>
    <t>TBD</t>
  </si>
  <si>
    <t>VSF</t>
  </si>
  <si>
    <t>TSJ</t>
  </si>
  <si>
    <t>TTA</t>
  </si>
  <si>
    <t>PAC</t>
  </si>
  <si>
    <t>NAF</t>
  </si>
  <si>
    <t>VAB</t>
  </si>
  <si>
    <t>SGT</t>
  </si>
  <si>
    <t>VHM</t>
  </si>
  <si>
    <t>MSH</t>
  </si>
  <si>
    <t>VPI</t>
  </si>
  <si>
    <t>VTZ</t>
  </si>
  <si>
    <t>POW</t>
  </si>
  <si>
    <t>ASM</t>
  </si>
  <si>
    <t>DSE</t>
  </si>
  <si>
    <t>VFS</t>
  </si>
  <si>
    <t>BAB</t>
  </si>
  <si>
    <t>HCM</t>
  </si>
  <si>
    <t>BMP</t>
  </si>
  <si>
    <t>IJC</t>
  </si>
  <si>
    <t>TTN</t>
  </si>
  <si>
    <t>REE</t>
  </si>
  <si>
    <t>TAL</t>
  </si>
  <si>
    <t>ANV</t>
  </si>
  <si>
    <t>CSV</t>
  </si>
  <si>
    <t>VNM</t>
  </si>
  <si>
    <t>PVT</t>
  </si>
  <si>
    <t>VJC</t>
  </si>
  <si>
    <t>PAN</t>
  </si>
  <si>
    <t>KSB</t>
  </si>
  <si>
    <t>VLB</t>
  </si>
  <si>
    <t>DDV</t>
  </si>
  <si>
    <t>G36</t>
  </si>
  <si>
    <t>NT2</t>
  </si>
  <si>
    <t>BVS</t>
  </si>
  <si>
    <t>BVB</t>
  </si>
  <si>
    <t>AGR</t>
  </si>
  <si>
    <t>ORS</t>
  </si>
  <si>
    <t>AAS</t>
  </si>
  <si>
    <t>CTS</t>
  </si>
  <si>
    <t>VEA</t>
  </si>
  <si>
    <t>TVS</t>
  </si>
  <si>
    <t>PVI</t>
  </si>
  <si>
    <t>VTP</t>
  </si>
  <si>
    <t>TIG</t>
  </si>
  <si>
    <t>CTD</t>
  </si>
  <si>
    <t>F88</t>
  </si>
  <si>
    <t>VOS</t>
  </si>
  <si>
    <t>VLC</t>
  </si>
  <si>
    <t>VC3</t>
  </si>
  <si>
    <t>TNH</t>
  </si>
  <si>
    <t>KLB</t>
  </si>
  <si>
    <t>VGI</t>
  </si>
  <si>
    <t>KDC</t>
  </si>
  <si>
    <t>DBC</t>
  </si>
  <si>
    <t>DSC</t>
  </si>
  <si>
    <t>HDC</t>
  </si>
  <si>
    <t>HHV</t>
  </si>
  <si>
    <t>DIG</t>
  </si>
  <si>
    <t>SIP</t>
  </si>
  <si>
    <t>VIC</t>
  </si>
  <si>
    <t>BAF</t>
  </si>
  <si>
    <t>VCS</t>
  </si>
  <si>
    <t>FOX</t>
  </si>
  <si>
    <t>HVN</t>
  </si>
  <si>
    <t>BSR</t>
  </si>
  <si>
    <t>QNS</t>
  </si>
  <si>
    <t>BWE</t>
  </si>
  <si>
    <t>VGS</t>
  </si>
  <si>
    <t>CMG</t>
  </si>
  <si>
    <t>CTR</t>
  </si>
  <si>
    <t>VDS</t>
  </si>
  <si>
    <t>SHI</t>
  </si>
  <si>
    <t>C4G</t>
  </si>
  <si>
    <t>CEO</t>
  </si>
  <si>
    <t>PLC</t>
  </si>
  <si>
    <t>SAM</t>
  </si>
  <si>
    <t>SCR</t>
  </si>
  <si>
    <t>PET</t>
  </si>
  <si>
    <t>NTL</t>
  </si>
  <si>
    <t>GIL</t>
  </si>
  <si>
    <t>GEG</t>
  </si>
  <si>
    <t>KHG</t>
  </si>
  <si>
    <t>CTF</t>
  </si>
  <si>
    <t>DBD</t>
  </si>
  <si>
    <t>DCL</t>
  </si>
  <si>
    <t>DNP</t>
  </si>
  <si>
    <t>ELC</t>
  </si>
  <si>
    <t>FCN</t>
  </si>
  <si>
    <t>SJS</t>
  </si>
  <si>
    <t>HAH</t>
  </si>
  <si>
    <t>SZC</t>
  </si>
  <si>
    <t>DGW</t>
  </si>
  <si>
    <t>AAA</t>
  </si>
  <si>
    <t>NVB</t>
  </si>
  <si>
    <t>VIX</t>
  </si>
  <si>
    <t>FTS</t>
  </si>
  <si>
    <t>MBS</t>
  </si>
  <si>
    <t>SHS</t>
  </si>
  <si>
    <t>BSI</t>
  </si>
  <si>
    <t>VCI</t>
  </si>
  <si>
    <t>VND</t>
  </si>
  <si>
    <t>SSI</t>
  </si>
  <si>
    <t>MIG</t>
  </si>
  <si>
    <t>VCB</t>
  </si>
  <si>
    <t>TPB</t>
  </si>
  <si>
    <t>TCB</t>
  </si>
  <si>
    <t>EVG</t>
  </si>
  <si>
    <t>BID</t>
  </si>
  <si>
    <t>BVH</t>
  </si>
  <si>
    <t>CTG</t>
  </si>
  <si>
    <t>EIB</t>
  </si>
  <si>
    <t>STB</t>
  </si>
  <si>
    <t>VSC</t>
  </si>
  <si>
    <t>EVF</t>
  </si>
  <si>
    <t>HDB</t>
  </si>
  <si>
    <t>LPB</t>
  </si>
  <si>
    <t>MSB</t>
  </si>
  <si>
    <t>NAB</t>
  </si>
  <si>
    <t>SHB</t>
  </si>
  <si>
    <t>SSB</t>
  </si>
  <si>
    <t>PNJ</t>
  </si>
  <si>
    <t>VPL</t>
  </si>
  <si>
    <t>HAX</t>
  </si>
  <si>
    <t>TCD</t>
  </si>
  <si>
    <t>PVP</t>
  </si>
  <si>
    <t>LHG</t>
  </si>
  <si>
    <t>HPX</t>
  </si>
  <si>
    <t>APH</t>
  </si>
  <si>
    <t>TV2</t>
  </si>
  <si>
    <t>TOS</t>
  </si>
  <si>
    <t>TIP</t>
  </si>
  <si>
    <t>TNG</t>
  </si>
  <si>
    <t>ABB</t>
  </si>
  <si>
    <t>TLG</t>
  </si>
  <si>
    <t>LCG</t>
  </si>
  <si>
    <t>HBC</t>
  </si>
  <si>
    <t>SMC</t>
  </si>
  <si>
    <t>FPT</t>
  </si>
  <si>
    <t>NTP</t>
  </si>
  <si>
    <t>HDG</t>
  </si>
  <si>
    <t>GEX</t>
  </si>
  <si>
    <t>SBT</t>
  </si>
  <si>
    <t>GEE</t>
  </si>
  <si>
    <t>SCS</t>
  </si>
  <si>
    <t>DPM</t>
  </si>
  <si>
    <t>TCH</t>
  </si>
  <si>
    <t>PLX</t>
  </si>
  <si>
    <t>OIL</t>
  </si>
  <si>
    <t>PHP</t>
  </si>
  <si>
    <t>DTD</t>
  </si>
  <si>
    <t>VHC</t>
  </si>
  <si>
    <t>VGC</t>
  </si>
  <si>
    <t>PTB</t>
  </si>
  <si>
    <t>CTI</t>
  </si>
  <si>
    <t>DRC</t>
  </si>
  <si>
    <t>NKG</t>
  </si>
  <si>
    <t>IDC</t>
  </si>
  <si>
    <t>HTD</t>
  </si>
  <si>
    <t>PC1</t>
  </si>
  <si>
    <t>VCG</t>
  </si>
  <si>
    <t>PDR</t>
  </si>
  <si>
    <t>BCM</t>
  </si>
  <si>
    <t>GAS</t>
  </si>
  <si>
    <t>DXG</t>
  </si>
  <si>
    <t>DXS</t>
  </si>
  <si>
    <t>SAB</t>
  </si>
  <si>
    <t>NLG</t>
  </si>
  <si>
    <t>KBC</t>
  </si>
  <si>
    <t>PVD</t>
  </si>
  <si>
    <t>LAS</t>
  </si>
  <si>
    <t>IDI</t>
  </si>
  <si>
    <t>HSG</t>
  </si>
  <si>
    <t>PVS</t>
  </si>
  <si>
    <t>VRE</t>
  </si>
  <si>
    <t>KDH</t>
  </si>
  <si>
    <t>ACV</t>
  </si>
  <si>
    <t>DCM</t>
  </si>
  <si>
    <t>MWG</t>
  </si>
  <si>
    <t>HHS</t>
  </si>
  <si>
    <t>HPG</t>
  </si>
  <si>
    <t>FRT</t>
  </si>
  <si>
    <t>GMD</t>
  </si>
  <si>
    <t>DPG</t>
  </si>
  <si>
    <t>DGC</t>
  </si>
  <si>
    <t>DHC</t>
  </si>
  <si>
    <t>BFC</t>
  </si>
  <si>
    <t>TCM</t>
  </si>
  <si>
    <t>VGT</t>
  </si>
  <si>
    <t>2021</t>
  </si>
  <si>
    <t>2022</t>
  </si>
  <si>
    <t>2023</t>
  </si>
  <si>
    <t>2024</t>
  </si>
  <si>
    <t>2025E</t>
  </si>
  <si>
    <t>YoY_NPATMI</t>
  </si>
  <si>
    <t>NPATMI</t>
  </si>
  <si>
    <t>YoY_EPS</t>
  </si>
  <si>
    <t>2020</t>
  </si>
  <si>
    <t>FreeFloat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</si>
</sst>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dd/mm/yyyy"/>
    <numFmt numFmtId="166" formatCode="#,##0.0"/>
  </numFmts>
  <fonts count="8">
    <font>
      <sz val="11"/>
      <color theme="1"/>
      <name val="Arial"/>
      <family val="2"/>
      <scheme val="minor"/>
    </font>
    <font>
      <b/>
      <sz val="12"/>
      <color rgb="FFFFFFFF"/>
      <name val="Manrope"/>
    </font>
    <font>
      <sz val="12"/>
      <name val="Manrope"/>
    </font>
    <font>
      <sz val="8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08478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C8C9CA"/>
      </top>
      <bottom/>
      <diagonal/>
    </border>
    <border>
      <left/>
      <right/>
      <top style="thin">
        <color rgb="FFC8C9CA"/>
      </top>
      <bottom style="thin">
        <color rgb="FFC8C9CA"/>
      </bottom>
      <diagonal/>
    </border>
    <border>
      <left/>
      <right/>
      <top/>
      <bottom style="thin">
        <color rgb="FFC8C9C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164" fontId="0" fillId="0" borderId="0" xfId="0" applyNumberFormat="1"/>
    <xf numFmtId="49" fontId="1" fillId="2" borderId="0" xfId="0" applyNumberFormat="1" applyFont="1" applyFill="1" applyAlignment="1">
      <alignment vertical="center"/>
    </xf>
    <xf numFmtId="0" fontId="5" fillId="3" borderId="0" xfId="1" applyFont="1" applyFill="1" applyAlignment="1">
      <alignment vertical="center"/>
    </xf>
    <xf numFmtId="3" fontId="0" fillId="0" borderId="0" xfId="0" applyNumberFormat="1"/>
    <xf numFmtId="165" fontId="0" fillId="0" borderId="0" xfId="0" applyNumberFormat="1"/>
    <xf numFmtId="0" fontId="5" fillId="3" borderId="0" xfId="1" applyFont="1" applyFill="1"/>
    <xf numFmtId="49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6"/>
  <sheetViews>
    <sheetView showGridLines="0" tabSelected="1" topLeftCell="AB1" workbookViewId="0">
      <selection activeCell="AQ11" sqref="AQ11"/>
    </sheetView>
  </sheetViews>
  <sheetFormatPr defaultRowHeight="14.25"/>
  <cols>
    <col min="1" max="1" width="8" customWidth="1"/>
    <col min="2" max="2" width="15" customWidth="1"/>
    <col min="3" max="26" width="9.875" customWidth="1"/>
    <col min="27" max="50" width="9.875" bestFit="1" customWidth="1"/>
  </cols>
  <sheetData>
    <row r="1" spans="1:50" ht="14.45" customHeight="1">
      <c r="A1" s="5"/>
      <c r="B1" s="5"/>
      <c r="C1" s="9" t="str">
        <f>_xll.Diamond('Assessment Scores'!$B$3:$B$208, "EPS,NPATMI,YoY_EPS,YoY_NPATMI", "", "01/01/2020", "31/12/2025", "Y", 0, "VND", 1, 0, "Ticker", "Keycode,Period", 0, 1, 1)</f>
        <v>EPS</v>
      </c>
      <c r="D1" s="5"/>
      <c r="E1" s="5"/>
      <c r="F1" s="5"/>
      <c r="G1" s="5"/>
      <c r="H1" s="5"/>
      <c r="I1" s="8" t="s">
        <v>212</v>
      </c>
      <c r="J1" s="5"/>
      <c r="K1" s="5"/>
      <c r="L1" s="5"/>
      <c r="M1" s="5"/>
      <c r="N1" s="5"/>
      <c r="O1" s="8" t="s">
        <v>213</v>
      </c>
      <c r="P1" s="5"/>
      <c r="Q1" s="5"/>
      <c r="R1" s="5"/>
      <c r="S1" s="5"/>
      <c r="T1" s="5"/>
      <c r="U1" s="8" t="s">
        <v>211</v>
      </c>
      <c r="V1" s="5"/>
      <c r="W1" s="5"/>
      <c r="X1" s="5"/>
      <c r="Y1" s="5"/>
      <c r="Z1" s="5"/>
      <c r="AA1" s="12" t="str">
        <f>_xll.Diamond('Assessment Scores'!$B$3:$B$208, "MarketCap,FreeFloat", "30/06/2021,31/12/2021,30/06/2022,31/12/2022,30/06/2023,31/12/2023,30/06/2024,31/12/2024,30/06/2025,19/11/2025,30/06/2020,31/12/2020", "", "", "D", 0, "VND", 1, 0, "Ticker", "Keycode,Period", 0, 1, 1)</f>
        <v>MarketCap</v>
      </c>
      <c r="AM1" s="13" t="s">
        <v>215</v>
      </c>
    </row>
    <row r="2" spans="1:50" ht="24.95" customHeight="1">
      <c r="A2" s="6"/>
      <c r="B2" s="6"/>
      <c r="C2" s="8" t="s">
        <v>214</v>
      </c>
      <c r="D2" s="8" t="s">
        <v>206</v>
      </c>
      <c r="E2" s="8" t="s">
        <v>207</v>
      </c>
      <c r="F2" s="8" t="s">
        <v>208</v>
      </c>
      <c r="G2" s="8" t="s">
        <v>209</v>
      </c>
      <c r="H2" s="8" t="s">
        <v>210</v>
      </c>
      <c r="I2" s="8" t="s">
        <v>214</v>
      </c>
      <c r="J2" s="8" t="s">
        <v>206</v>
      </c>
      <c r="K2" s="8" t="s">
        <v>207</v>
      </c>
      <c r="L2" s="8" t="s">
        <v>208</v>
      </c>
      <c r="M2" s="8" t="s">
        <v>209</v>
      </c>
      <c r="N2" s="8" t="s">
        <v>210</v>
      </c>
      <c r="O2" s="8" t="s">
        <v>214</v>
      </c>
      <c r="P2" s="8" t="s">
        <v>206</v>
      </c>
      <c r="Q2" s="8" t="s">
        <v>207</v>
      </c>
      <c r="R2" s="8" t="s">
        <v>208</v>
      </c>
      <c r="S2" s="8" t="s">
        <v>209</v>
      </c>
      <c r="T2" s="8" t="s">
        <v>210</v>
      </c>
      <c r="U2" s="8" t="s">
        <v>214</v>
      </c>
      <c r="V2" s="8" t="s">
        <v>206</v>
      </c>
      <c r="W2" s="8" t="s">
        <v>207</v>
      </c>
      <c r="X2" s="8" t="s">
        <v>208</v>
      </c>
      <c r="Y2" s="8" t="s">
        <v>209</v>
      </c>
      <c r="Z2" s="8" t="s">
        <v>210</v>
      </c>
      <c r="AA2" s="11">
        <v>44377</v>
      </c>
      <c r="AB2" s="11">
        <v>44561</v>
      </c>
      <c r="AC2" s="11">
        <v>44742</v>
      </c>
      <c r="AD2" s="11">
        <v>44926</v>
      </c>
      <c r="AE2" s="11">
        <v>45107</v>
      </c>
      <c r="AF2" s="11">
        <v>45291</v>
      </c>
      <c r="AG2" s="11">
        <v>45473</v>
      </c>
      <c r="AH2" s="11">
        <v>45657</v>
      </c>
      <c r="AI2" s="11">
        <v>45838</v>
      </c>
      <c r="AJ2" s="11">
        <v>45980</v>
      </c>
      <c r="AK2" s="11">
        <v>44012</v>
      </c>
      <c r="AL2" s="11">
        <v>44196</v>
      </c>
      <c r="AM2" s="11">
        <v>44377</v>
      </c>
      <c r="AN2" s="11">
        <v>44561</v>
      </c>
      <c r="AO2" s="11">
        <v>44742</v>
      </c>
      <c r="AP2" s="11">
        <v>44926</v>
      </c>
      <c r="AQ2" s="11">
        <v>45107</v>
      </c>
      <c r="AR2" s="11">
        <v>45291</v>
      </c>
      <c r="AS2" s="11">
        <v>45473</v>
      </c>
      <c r="AT2" s="11">
        <v>45657</v>
      </c>
      <c r="AU2" s="11">
        <v>45838</v>
      </c>
      <c r="AV2" s="11">
        <v>45980</v>
      </c>
      <c r="AW2" s="11">
        <v>44012</v>
      </c>
      <c r="AX2" s="11">
        <v>44196</v>
      </c>
    </row>
    <row r="3" spans="1:50" ht="20.100000000000001" customHeight="1">
      <c r="A3" s="1">
        <v>2</v>
      </c>
      <c r="B3" s="2" t="s">
        <v>0</v>
      </c>
      <c r="C3" s="10">
        <v>2210.4432000000002</v>
      </c>
      <c r="D3" s="10">
        <v>1670.4588000000001</v>
      </c>
      <c r="E3" s="10">
        <v>1108.6948</v>
      </c>
      <c r="F3" s="10">
        <v>310.53620000000001</v>
      </c>
      <c r="G3" s="10">
        <v>-3309.9652999999998</v>
      </c>
      <c r="H3" s="10">
        <v>138.47219999999999</v>
      </c>
      <c r="I3" s="10">
        <v>3919.0716340990002</v>
      </c>
      <c r="J3" s="10">
        <v>3224.6870281759998</v>
      </c>
      <c r="K3" s="10">
        <v>2162.0712227079998</v>
      </c>
      <c r="L3" s="10">
        <v>605.57822011300004</v>
      </c>
      <c r="M3" s="10">
        <v>-6454.77990477</v>
      </c>
      <c r="N3" s="10">
        <v>283.53699775109999</v>
      </c>
      <c r="O3" s="7">
        <v>9.9000000000000005E-2</v>
      </c>
      <c r="P3" s="7">
        <v>-0.24429999999999999</v>
      </c>
      <c r="Q3" s="7">
        <v>-0.33629999999999999</v>
      </c>
      <c r="R3" s="7">
        <v>-0.71989999999999998</v>
      </c>
      <c r="S3" s="7"/>
      <c r="T3" s="7"/>
      <c r="U3" s="7">
        <v>0.1421</v>
      </c>
      <c r="V3" s="7">
        <v>-0.1772</v>
      </c>
      <c r="W3" s="7">
        <v>-0.32950000000000002</v>
      </c>
      <c r="X3" s="7">
        <v>-0.71989999999999998</v>
      </c>
      <c r="Y3" s="7"/>
      <c r="Z3" s="7"/>
      <c r="AA3" s="10">
        <v>178306.27989899999</v>
      </c>
      <c r="AB3" s="10">
        <v>175668.52575999999</v>
      </c>
      <c r="AC3" s="10">
        <v>145258.58496800001</v>
      </c>
      <c r="AD3" s="10">
        <v>27301.463532000002</v>
      </c>
      <c r="AE3" s="10">
        <v>28959.052389299999</v>
      </c>
      <c r="AF3" s="10">
        <v>33249.282372900001</v>
      </c>
      <c r="AG3" s="10">
        <v>25936.390355399999</v>
      </c>
      <c r="AH3" s="10">
        <v>19988.571514499999</v>
      </c>
      <c r="AI3" s="10">
        <v>29544.0837507</v>
      </c>
      <c r="AJ3" s="10">
        <v>32045.092806600001</v>
      </c>
      <c r="AK3" s="10">
        <v>59626.7590155</v>
      </c>
      <c r="AL3" s="10">
        <v>65094.829601999998</v>
      </c>
      <c r="AM3" s="14">
        <v>35</v>
      </c>
      <c r="AN3" s="14">
        <v>35</v>
      </c>
      <c r="AO3" s="14">
        <v>35</v>
      </c>
      <c r="AP3" s="14">
        <v>40</v>
      </c>
      <c r="AQ3" s="14">
        <v>55</v>
      </c>
      <c r="AR3" s="14">
        <v>65</v>
      </c>
      <c r="AS3" s="14">
        <v>65</v>
      </c>
      <c r="AT3" s="14">
        <v>65</v>
      </c>
      <c r="AU3" s="14">
        <v>65</v>
      </c>
      <c r="AV3" s="14">
        <v>65</v>
      </c>
      <c r="AW3" s="14">
        <v>35</v>
      </c>
      <c r="AX3" s="14">
        <v>35</v>
      </c>
    </row>
    <row r="4" spans="1:50" ht="20.100000000000001" customHeight="1">
      <c r="A4" s="1">
        <v>3</v>
      </c>
      <c r="B4" s="2" t="s">
        <v>1</v>
      </c>
      <c r="C4" s="10">
        <v>2631.0353</v>
      </c>
      <c r="D4" s="10">
        <v>2623.2894999999999</v>
      </c>
      <c r="E4" s="10">
        <v>25.3566</v>
      </c>
      <c r="F4" s="10">
        <v>1082.8661999999999</v>
      </c>
      <c r="G4" s="10">
        <v>1768.9293</v>
      </c>
      <c r="H4" s="10">
        <v>1076.7375</v>
      </c>
      <c r="I4" s="10">
        <v>414.71333671999997</v>
      </c>
      <c r="J4" s="10">
        <v>419.37519458399998</v>
      </c>
      <c r="K4" s="10">
        <v>18.965726118999999</v>
      </c>
      <c r="L4" s="10">
        <v>175.35810525900001</v>
      </c>
      <c r="M4" s="10">
        <v>297.50054791899998</v>
      </c>
      <c r="N4" s="10">
        <v>180</v>
      </c>
      <c r="O4" s="7">
        <v>0</v>
      </c>
      <c r="P4" s="7">
        <v>-2.8999999999999998E-3</v>
      </c>
      <c r="Q4" s="7">
        <v>-0.99029999999999996</v>
      </c>
      <c r="R4" s="7">
        <v>41.705500000000001</v>
      </c>
      <c r="S4" s="7">
        <v>0.63360000000000005</v>
      </c>
      <c r="T4" s="7">
        <v>-0.39129999999999998</v>
      </c>
      <c r="U4" s="7">
        <v>0.2702</v>
      </c>
      <c r="V4" s="7">
        <v>1.12E-2</v>
      </c>
      <c r="W4" s="7">
        <v>-0.95479999999999998</v>
      </c>
      <c r="X4" s="7">
        <v>8.2461000000000002</v>
      </c>
      <c r="Y4" s="7">
        <v>0.69650000000000001</v>
      </c>
      <c r="Z4" s="7">
        <v>-0.39500000000000002</v>
      </c>
      <c r="AA4" s="10">
        <v>4236.8295423999998</v>
      </c>
      <c r="AB4" s="10">
        <v>4303.0300040000002</v>
      </c>
      <c r="AC4" s="10">
        <v>4245.1014100000002</v>
      </c>
      <c r="AD4" s="10">
        <v>3803.5983872000002</v>
      </c>
      <c r="AE4" s="10">
        <v>3590.8971615999999</v>
      </c>
      <c r="AF4" s="10">
        <v>3315.6367519999999</v>
      </c>
      <c r="AG4" s="10">
        <v>2977.8171584000002</v>
      </c>
      <c r="AH4" s="10">
        <v>2502.9324474</v>
      </c>
      <c r="AI4" s="10">
        <v>2689.83974055</v>
      </c>
      <c r="AJ4" s="10">
        <v>2616.7021040999998</v>
      </c>
      <c r="AK4" s="10">
        <v>2037.9667999999999</v>
      </c>
      <c r="AL4" s="10">
        <v>2364.6819700000001</v>
      </c>
      <c r="AM4" s="14">
        <v>65</v>
      </c>
      <c r="AN4" s="14">
        <v>65</v>
      </c>
      <c r="AO4" s="14">
        <v>50</v>
      </c>
      <c r="AP4" s="14">
        <v>55</v>
      </c>
      <c r="AQ4" s="14">
        <v>55</v>
      </c>
      <c r="AR4" s="14">
        <v>55</v>
      </c>
      <c r="AS4" s="14">
        <v>70</v>
      </c>
      <c r="AT4" s="14">
        <v>70</v>
      </c>
      <c r="AU4" s="14">
        <v>45</v>
      </c>
      <c r="AV4" s="14">
        <v>35</v>
      </c>
      <c r="AW4" s="14">
        <v>100</v>
      </c>
      <c r="AX4" s="14">
        <v>100</v>
      </c>
    </row>
    <row r="5" spans="1:50" ht="20.100000000000001" customHeight="1">
      <c r="A5" s="1">
        <v>4</v>
      </c>
      <c r="B5" s="2" t="s">
        <v>2</v>
      </c>
      <c r="C5" s="10">
        <v>4485.6003000000001</v>
      </c>
      <c r="D5" s="10">
        <v>5346.9161000000004</v>
      </c>
      <c r="E5" s="10">
        <v>5350.7493000000004</v>
      </c>
      <c r="F5" s="10">
        <v>6954.7075999999997</v>
      </c>
      <c r="G5" s="10">
        <v>7574.0699000000004</v>
      </c>
      <c r="H5" s="10">
        <v>6315.2273999999998</v>
      </c>
      <c r="I5" s="10">
        <v>4520.2988451780002</v>
      </c>
      <c r="J5" s="10">
        <v>5442.1348894740004</v>
      </c>
      <c r="K5" s="10">
        <v>5451.118633692</v>
      </c>
      <c r="L5" s="10">
        <v>7085.1639853939996</v>
      </c>
      <c r="M5" s="10">
        <v>7803.2755189959998</v>
      </c>
      <c r="N5" s="10">
        <v>6673.3323785531002</v>
      </c>
      <c r="O5" s="7">
        <v>0.11650000000000001</v>
      </c>
      <c r="P5" s="7">
        <v>0.192</v>
      </c>
      <c r="Q5" s="7">
        <v>6.9999999999999999E-4</v>
      </c>
      <c r="R5" s="7">
        <v>0.29980000000000001</v>
      </c>
      <c r="S5" s="7">
        <v>8.9099999999999999E-2</v>
      </c>
      <c r="T5" s="7">
        <v>-0.16619999999999999</v>
      </c>
      <c r="U5" s="7">
        <v>0.1226</v>
      </c>
      <c r="V5" s="7">
        <v>0.2039</v>
      </c>
      <c r="W5" s="7">
        <v>1.6999999999999999E-3</v>
      </c>
      <c r="X5" s="7">
        <v>0.29980000000000001</v>
      </c>
      <c r="Y5" s="7">
        <v>0.1014</v>
      </c>
      <c r="Z5" s="7">
        <v>-0.14480000000000001</v>
      </c>
      <c r="AA5" s="10">
        <v>80352.41117757</v>
      </c>
      <c r="AB5" s="10">
        <v>81872.152525380006</v>
      </c>
      <c r="AC5" s="10">
        <v>69519.670215730002</v>
      </c>
      <c r="AD5" s="10">
        <v>53669.332175900003</v>
      </c>
      <c r="AE5" s="10">
        <v>51592.063898490997</v>
      </c>
      <c r="AF5" s="10">
        <v>62482.854015199999</v>
      </c>
      <c r="AG5" s="10">
        <v>158167.994975796</v>
      </c>
      <c r="AH5" s="10">
        <v>186057.274579369</v>
      </c>
      <c r="AI5" s="10">
        <v>134066.11153160399</v>
      </c>
      <c r="AJ5" s="10">
        <v>227297.3225058</v>
      </c>
      <c r="AK5" s="10">
        <v>49116.326708303997</v>
      </c>
      <c r="AL5" s="10">
        <v>65606.664587898005</v>
      </c>
      <c r="AM5" s="14">
        <v>100</v>
      </c>
      <c r="AN5" s="14">
        <v>10</v>
      </c>
      <c r="AO5" s="14">
        <v>10</v>
      </c>
      <c r="AP5" s="14">
        <v>10</v>
      </c>
      <c r="AQ5" s="14">
        <v>10</v>
      </c>
      <c r="AR5" s="14">
        <v>10</v>
      </c>
      <c r="AS5" s="14">
        <v>10</v>
      </c>
      <c r="AT5" s="14">
        <v>10</v>
      </c>
      <c r="AU5" s="14">
        <v>30</v>
      </c>
      <c r="AV5" s="14">
        <v>30</v>
      </c>
      <c r="AW5" s="14">
        <v>100</v>
      </c>
      <c r="AX5" s="14">
        <v>100</v>
      </c>
    </row>
    <row r="6" spans="1:50" ht="20.100000000000001" customHeight="1">
      <c r="A6" s="1">
        <v>5</v>
      </c>
      <c r="B6" s="2" t="s">
        <v>3</v>
      </c>
      <c r="C6" s="10">
        <v>1341.8902</v>
      </c>
      <c r="D6" s="10">
        <v>1852.7469000000001</v>
      </c>
      <c r="E6" s="10">
        <v>2451.1255999999998</v>
      </c>
      <c r="F6" s="10">
        <v>2462.3859000000002</v>
      </c>
      <c r="G6" s="10">
        <v>2063.9814000000001</v>
      </c>
      <c r="H6" s="10">
        <v>2212.2274000000002</v>
      </c>
      <c r="I6" s="10">
        <v>4642.3339999999998</v>
      </c>
      <c r="J6" s="10">
        <v>6409.75</v>
      </c>
      <c r="K6" s="10">
        <v>8468.7669999999998</v>
      </c>
      <c r="L6" s="10">
        <v>8563.0529999999999</v>
      </c>
      <c r="M6" s="10">
        <v>7204.47</v>
      </c>
      <c r="N6" s="10">
        <v>7739.6685393376001</v>
      </c>
      <c r="O6" s="7">
        <v>0.42130000000000001</v>
      </c>
      <c r="P6" s="7">
        <v>0.38069999999999998</v>
      </c>
      <c r="Q6" s="7">
        <v>0.32300000000000001</v>
      </c>
      <c r="R6" s="7">
        <v>4.5999999999999999E-3</v>
      </c>
      <c r="S6" s="7">
        <v>-0.1618</v>
      </c>
      <c r="T6" s="7">
        <v>7.1800000000000003E-2</v>
      </c>
      <c r="U6" s="7">
        <v>0.42120000000000002</v>
      </c>
      <c r="V6" s="7">
        <v>0.38069999999999998</v>
      </c>
      <c r="W6" s="7">
        <v>0.32119999999999999</v>
      </c>
      <c r="X6" s="7">
        <v>1.11E-2</v>
      </c>
      <c r="Y6" s="7">
        <v>-0.15870000000000001</v>
      </c>
      <c r="Z6" s="7">
        <v>7.4300000000000005E-2</v>
      </c>
      <c r="AA6" s="10">
        <v>76802.921003850002</v>
      </c>
      <c r="AB6" s="10">
        <v>73463.663568899996</v>
      </c>
      <c r="AC6" s="10">
        <v>45314.968317500003</v>
      </c>
      <c r="AD6" s="10">
        <v>40045.785954999999</v>
      </c>
      <c r="AE6" s="10">
        <v>49698.928043100001</v>
      </c>
      <c r="AF6" s="10">
        <v>49721.427666399999</v>
      </c>
      <c r="AG6" s="10">
        <v>53272.958213999998</v>
      </c>
      <c r="AH6" s="10">
        <v>58688.817955500002</v>
      </c>
      <c r="AI6" s="10">
        <v>54518.039014499998</v>
      </c>
      <c r="AJ6" s="10">
        <v>63654.906776999997</v>
      </c>
      <c r="AK6" s="10">
        <v>16115.73399764</v>
      </c>
      <c r="AL6" s="10">
        <v>35944.166404800002</v>
      </c>
      <c r="AM6" s="14">
        <v>70</v>
      </c>
      <c r="AN6" s="14">
        <v>45</v>
      </c>
      <c r="AO6" s="14">
        <v>55</v>
      </c>
      <c r="AP6" s="14">
        <v>55</v>
      </c>
      <c r="AQ6" s="14">
        <v>50</v>
      </c>
      <c r="AR6" s="14">
        <v>50</v>
      </c>
      <c r="AS6" s="14">
        <v>45</v>
      </c>
      <c r="AT6" s="14">
        <v>65</v>
      </c>
      <c r="AU6" s="14">
        <v>60</v>
      </c>
      <c r="AV6" s="14">
        <v>60</v>
      </c>
      <c r="AW6" s="14">
        <v>70</v>
      </c>
      <c r="AX6" s="14">
        <v>70</v>
      </c>
    </row>
    <row r="7" spans="1:50" ht="20.100000000000001" customHeight="1">
      <c r="A7" s="1">
        <v>6</v>
      </c>
      <c r="B7" s="2" t="s">
        <v>4</v>
      </c>
      <c r="C7" s="10">
        <v>0</v>
      </c>
      <c r="D7" s="10">
        <v>1670.0155</v>
      </c>
      <c r="E7" s="10">
        <v>1325.5903000000001</v>
      </c>
      <c r="F7" s="10">
        <v>1257.7557999999999</v>
      </c>
      <c r="G7" s="10">
        <v>1202.1799000000001</v>
      </c>
      <c r="H7" s="10">
        <v>1398.4733000000001</v>
      </c>
      <c r="I7" s="10">
        <v>3534.7722095129998</v>
      </c>
      <c r="J7" s="10">
        <v>4404.9589678020002</v>
      </c>
      <c r="K7" s="10">
        <v>3509.7179446360001</v>
      </c>
      <c r="L7" s="10">
        <v>3303.302700616</v>
      </c>
      <c r="M7" s="10">
        <v>3173.4232267679999</v>
      </c>
      <c r="N7" s="10">
        <v>3683.5163241411001</v>
      </c>
      <c r="O7" s="7">
        <v>0</v>
      </c>
      <c r="P7" s="7">
        <v>0</v>
      </c>
      <c r="Q7" s="7">
        <v>-0.20619999999999999</v>
      </c>
      <c r="R7" s="7">
        <v>-5.1200000000000002E-2</v>
      </c>
      <c r="S7" s="7">
        <v>-4.4200000000000003E-2</v>
      </c>
      <c r="T7" s="7">
        <v>0.1633</v>
      </c>
      <c r="U7" s="7">
        <v>0.36890000000000001</v>
      </c>
      <c r="V7" s="7">
        <v>0.2462</v>
      </c>
      <c r="W7" s="7">
        <v>-0.20319999999999999</v>
      </c>
      <c r="X7" s="7">
        <v>-5.8799999999999998E-2</v>
      </c>
      <c r="Y7" s="7">
        <v>-3.9300000000000002E-2</v>
      </c>
      <c r="Z7" s="7">
        <v>0.16070000000000001</v>
      </c>
      <c r="AA7" s="10">
        <v>33644.324730100001</v>
      </c>
      <c r="AB7" s="10">
        <v>37397.802159899999</v>
      </c>
      <c r="AC7" s="10">
        <v>23014.032098399999</v>
      </c>
      <c r="AD7" s="10">
        <v>24657.891533999999</v>
      </c>
      <c r="AE7" s="10">
        <v>25068.856392900001</v>
      </c>
      <c r="AF7" s="10">
        <v>27329.163110199999</v>
      </c>
      <c r="AG7" s="10">
        <v>28973.022545399999</v>
      </c>
      <c r="AH7" s="10">
        <v>28109.996332800001</v>
      </c>
      <c r="AI7" s="10">
        <v>28849.733078400001</v>
      </c>
      <c r="AJ7" s="10">
        <v>32888.695707400002</v>
      </c>
      <c r="AK7" s="10"/>
      <c r="AL7" s="10"/>
      <c r="AM7" s="14">
        <v>77</v>
      </c>
      <c r="AN7" s="14">
        <v>77</v>
      </c>
      <c r="AO7" s="14">
        <v>55</v>
      </c>
      <c r="AP7" s="14">
        <v>55</v>
      </c>
      <c r="AQ7" s="14">
        <v>55</v>
      </c>
      <c r="AR7" s="14">
        <v>55</v>
      </c>
      <c r="AS7" s="14">
        <v>55</v>
      </c>
      <c r="AT7" s="14">
        <v>55</v>
      </c>
      <c r="AU7" s="14">
        <v>30</v>
      </c>
      <c r="AV7" s="14">
        <v>30</v>
      </c>
      <c r="AW7" s="14">
        <v>100</v>
      </c>
      <c r="AX7" s="14">
        <v>100</v>
      </c>
    </row>
    <row r="8" spans="1:50" ht="20.100000000000001" customHeight="1">
      <c r="A8" s="1">
        <v>7</v>
      </c>
      <c r="B8" s="2" t="s">
        <v>5</v>
      </c>
      <c r="C8" s="10">
        <v>35.6599</v>
      </c>
      <c r="D8" s="10">
        <v>177.96440000000001</v>
      </c>
      <c r="E8" s="10">
        <v>62.797899999999998</v>
      </c>
      <c r="F8" s="10">
        <v>-1433.7235000000001</v>
      </c>
      <c r="G8" s="10">
        <v>-1490.6512</v>
      </c>
      <c r="H8" s="10">
        <v>139.0556</v>
      </c>
      <c r="I8" s="10">
        <v>39.195962999999999</v>
      </c>
      <c r="J8" s="10">
        <v>195.61132000000001</v>
      </c>
      <c r="K8" s="10">
        <v>69.024617000000006</v>
      </c>
      <c r="L8" s="10">
        <v>-1575.8843199999999</v>
      </c>
      <c r="M8" s="10">
        <v>-1638.4566850000001</v>
      </c>
      <c r="N8" s="10">
        <v>152.9374721456</v>
      </c>
      <c r="O8" s="7">
        <v>-0.89990000000000003</v>
      </c>
      <c r="P8" s="7">
        <v>3.9906000000000001</v>
      </c>
      <c r="Q8" s="7">
        <v>-0.64710000000000001</v>
      </c>
      <c r="R8" s="7"/>
      <c r="S8" s="7">
        <v>-3.9699999999999999E-2</v>
      </c>
      <c r="T8" s="7"/>
      <c r="U8" s="7">
        <v>-0.88880000000000003</v>
      </c>
      <c r="V8" s="7">
        <v>3.9906000000000001</v>
      </c>
      <c r="W8" s="7">
        <v>-0.64710000000000001</v>
      </c>
      <c r="X8" s="7"/>
      <c r="Y8" s="7">
        <v>-3.9699999999999999E-2</v>
      </c>
      <c r="Z8" s="7"/>
      <c r="AA8" s="10">
        <v>22610.726144820001</v>
      </c>
      <c r="AB8" s="10">
        <v>29833.276409639999</v>
      </c>
      <c r="AC8" s="10">
        <v>20558.602975680002</v>
      </c>
      <c r="AD8" s="10">
        <v>11967.604212959999</v>
      </c>
      <c r="AE8" s="10">
        <v>18371.283689880001</v>
      </c>
      <c r="AF8" s="10">
        <v>15884.994129840001</v>
      </c>
      <c r="AG8" s="10">
        <v>15751.99632402</v>
      </c>
      <c r="AH8" s="10">
        <v>13111.825005180001</v>
      </c>
      <c r="AI8" s="10">
        <v>20835.590141519999</v>
      </c>
      <c r="AJ8" s="10">
        <v>24959.53112688</v>
      </c>
      <c r="AK8" s="10">
        <v>14989.951871334</v>
      </c>
      <c r="AL8" s="10">
        <v>23890.143053700001</v>
      </c>
      <c r="AM8" s="14">
        <v>100</v>
      </c>
      <c r="AN8" s="14">
        <v>10</v>
      </c>
      <c r="AO8" s="14">
        <v>10</v>
      </c>
      <c r="AP8" s="14">
        <v>10</v>
      </c>
      <c r="AQ8" s="14">
        <v>3.6067</v>
      </c>
      <c r="AR8" s="14">
        <v>3.6067</v>
      </c>
      <c r="AS8" s="14">
        <v>3.61</v>
      </c>
      <c r="AT8" s="14">
        <v>10</v>
      </c>
      <c r="AU8" s="14">
        <v>10</v>
      </c>
      <c r="AV8" s="14">
        <v>10</v>
      </c>
      <c r="AW8" s="14">
        <v>100</v>
      </c>
      <c r="AX8" s="14">
        <v>100</v>
      </c>
    </row>
    <row r="9" spans="1:50" ht="20.100000000000001" customHeight="1">
      <c r="A9" s="1">
        <v>8</v>
      </c>
      <c r="B9" s="2" t="s">
        <v>6</v>
      </c>
      <c r="C9" s="10">
        <v>799.65110000000004</v>
      </c>
      <c r="D9" s="10">
        <v>-1278.7317</v>
      </c>
      <c r="E9" s="10">
        <v>2288.2152999999998</v>
      </c>
      <c r="F9" s="10">
        <v>475.5394</v>
      </c>
      <c r="G9" s="10">
        <v>648.92430000000002</v>
      </c>
      <c r="H9" s="10">
        <v>145.87440000000001</v>
      </c>
      <c r="I9" s="10">
        <v>253.922923594</v>
      </c>
      <c r="J9" s="10">
        <v>-332.403202642</v>
      </c>
      <c r="K9" s="10">
        <v>695.14694114199995</v>
      </c>
      <c r="L9" s="10">
        <v>178.23905111900001</v>
      </c>
      <c r="M9" s="10">
        <v>257.22423602399999</v>
      </c>
      <c r="N9" s="10">
        <v>96.038272188500002</v>
      </c>
      <c r="O9" s="7">
        <v>0.2157</v>
      </c>
      <c r="P9" s="7"/>
      <c r="Q9" s="7"/>
      <c r="R9" s="7">
        <v>-0.79220000000000002</v>
      </c>
      <c r="S9" s="7">
        <v>0.36459999999999998</v>
      </c>
      <c r="T9" s="7">
        <v>-0.7752</v>
      </c>
      <c r="U9" s="7">
        <v>0.29659999999999997</v>
      </c>
      <c r="V9" s="7"/>
      <c r="W9" s="7"/>
      <c r="X9" s="7">
        <v>-0.74360000000000004</v>
      </c>
      <c r="Y9" s="7">
        <v>0.44309999999999999</v>
      </c>
      <c r="Z9" s="7">
        <v>-0.62660000000000005</v>
      </c>
      <c r="AA9" s="10">
        <v>4562.6024227999997</v>
      </c>
      <c r="AB9" s="10">
        <v>11088.4354064</v>
      </c>
      <c r="AC9" s="10">
        <v>3997.6077341499999</v>
      </c>
      <c r="AD9" s="10">
        <v>3253.6656447</v>
      </c>
      <c r="AE9" s="10">
        <v>5169.1551366000003</v>
      </c>
      <c r="AF9" s="10">
        <v>5491.7930242499997</v>
      </c>
      <c r="AG9" s="10">
        <v>4988.8774684500004</v>
      </c>
      <c r="AH9" s="10">
        <v>4460.5461613500001</v>
      </c>
      <c r="AI9" s="10">
        <v>8085.8656742499998</v>
      </c>
      <c r="AJ9" s="10">
        <v>16355.528509150001</v>
      </c>
      <c r="AK9" s="10">
        <v>4334.9148182999998</v>
      </c>
      <c r="AL9" s="10">
        <v>5111.1392347999999</v>
      </c>
      <c r="AM9" s="14">
        <v>80</v>
      </c>
      <c r="AN9" s="14">
        <v>75</v>
      </c>
      <c r="AO9" s="14">
        <v>85</v>
      </c>
      <c r="AP9" s="14">
        <v>90</v>
      </c>
      <c r="AQ9" s="14">
        <v>90</v>
      </c>
      <c r="AR9" s="14">
        <v>90</v>
      </c>
      <c r="AS9" s="14">
        <v>95</v>
      </c>
      <c r="AT9" s="14">
        <v>95</v>
      </c>
      <c r="AU9" s="14">
        <v>95</v>
      </c>
      <c r="AV9" s="14">
        <v>90</v>
      </c>
      <c r="AW9" s="14">
        <v>80</v>
      </c>
      <c r="AX9" s="14">
        <v>80</v>
      </c>
    </row>
    <row r="10" spans="1:50" ht="20.100000000000001" customHeight="1">
      <c r="A10" s="1">
        <v>9</v>
      </c>
      <c r="B10" s="2" t="s">
        <v>7</v>
      </c>
      <c r="C10" s="10">
        <v>875.40049999999997</v>
      </c>
      <c r="D10" s="10">
        <v>6044.4925000000003</v>
      </c>
      <c r="E10" s="10">
        <v>2505.3968</v>
      </c>
      <c r="F10" s="10">
        <v>292.62119999999999</v>
      </c>
      <c r="G10" s="10">
        <v>1389.826</v>
      </c>
      <c r="H10" s="10">
        <v>2672.2064999999998</v>
      </c>
      <c r="I10" s="10">
        <v>1233.982</v>
      </c>
      <c r="J10" s="10">
        <v>8562.8819999999996</v>
      </c>
      <c r="K10" s="10">
        <v>3566.9960000000001</v>
      </c>
      <c r="L10" s="10">
        <v>418.69499999999999</v>
      </c>
      <c r="M10" s="10">
        <v>1999.059</v>
      </c>
      <c r="N10" s="10">
        <v>3863.7835214668999</v>
      </c>
      <c r="O10" s="7">
        <v>-0.77900000000000003</v>
      </c>
      <c r="P10" s="7">
        <v>5.9047999999999998</v>
      </c>
      <c r="Q10" s="7">
        <v>-0.58550000000000002</v>
      </c>
      <c r="R10" s="7">
        <v>-0.88319999999999999</v>
      </c>
      <c r="S10" s="7">
        <v>3.7496</v>
      </c>
      <c r="T10" s="7">
        <v>0.92269999999999996</v>
      </c>
      <c r="U10" s="7">
        <v>-0.77800000000000002</v>
      </c>
      <c r="V10" s="7">
        <v>5.9391999999999996</v>
      </c>
      <c r="W10" s="7">
        <v>-0.58340000000000003</v>
      </c>
      <c r="X10" s="7">
        <v>-0.88260000000000005</v>
      </c>
      <c r="Y10" s="7">
        <v>3.7745000000000002</v>
      </c>
      <c r="Z10" s="7">
        <v>0.93279999999999996</v>
      </c>
      <c r="AA10" s="10">
        <v>131511.56468879999</v>
      </c>
      <c r="AB10" s="10">
        <v>201871.432332</v>
      </c>
      <c r="AC10" s="10">
        <v>159457.17569599999</v>
      </c>
      <c r="AD10" s="10">
        <v>132406.40481899999</v>
      </c>
      <c r="AE10" s="10">
        <v>107064.1036816</v>
      </c>
      <c r="AF10" s="10">
        <v>95866.508201999997</v>
      </c>
      <c r="AG10" s="10">
        <v>107444.8657899</v>
      </c>
      <c r="AH10" s="10">
        <v>100684.61319</v>
      </c>
      <c r="AI10" s="10">
        <v>110465.4041856</v>
      </c>
      <c r="AJ10" s="10">
        <v>113938.13801159999</v>
      </c>
      <c r="AK10" s="10">
        <v>63240.002782700001</v>
      </c>
      <c r="AL10" s="10">
        <v>104429.3405694</v>
      </c>
      <c r="AM10" s="14">
        <v>35</v>
      </c>
      <c r="AN10" s="14">
        <v>40</v>
      </c>
      <c r="AO10" s="14">
        <v>40</v>
      </c>
      <c r="AP10" s="14">
        <v>45</v>
      </c>
      <c r="AQ10" s="14">
        <v>45</v>
      </c>
      <c r="AR10" s="14">
        <v>45</v>
      </c>
      <c r="AS10" s="14">
        <v>45</v>
      </c>
      <c r="AT10" s="14">
        <v>55</v>
      </c>
      <c r="AU10" s="14">
        <v>55</v>
      </c>
      <c r="AV10" s="14">
        <v>60</v>
      </c>
      <c r="AW10" s="14">
        <v>40</v>
      </c>
      <c r="AX10" s="14">
        <v>35</v>
      </c>
    </row>
    <row r="11" spans="1:50" ht="20.100000000000001" customHeight="1">
      <c r="A11" s="1">
        <v>10</v>
      </c>
      <c r="B11" s="2" t="s">
        <v>8</v>
      </c>
      <c r="C11" s="10">
        <v>999.9597</v>
      </c>
      <c r="D11" s="10">
        <v>1542.5277000000001</v>
      </c>
      <c r="E11" s="10">
        <v>2129.9783000000002</v>
      </c>
      <c r="F11" s="10">
        <v>2533.65</v>
      </c>
      <c r="G11" s="10">
        <v>2732.6824999999999</v>
      </c>
      <c r="H11" s="10">
        <v>3006.1259</v>
      </c>
      <c r="I11" s="10">
        <v>8262.6589999999997</v>
      </c>
      <c r="J11" s="10">
        <v>12697.075000000001</v>
      </c>
      <c r="K11" s="10">
        <v>17482.735000000001</v>
      </c>
      <c r="L11" s="10">
        <v>20676.788</v>
      </c>
      <c r="M11" s="10">
        <v>22633.757000000001</v>
      </c>
      <c r="N11" s="10">
        <v>24835.344230091701</v>
      </c>
      <c r="O11" s="7">
        <v>1.8599999999999998E-2</v>
      </c>
      <c r="P11" s="7">
        <v>0.54259999999999997</v>
      </c>
      <c r="Q11" s="7">
        <v>0.38080000000000003</v>
      </c>
      <c r="R11" s="7">
        <v>0.1895</v>
      </c>
      <c r="S11" s="7">
        <v>7.8600000000000003E-2</v>
      </c>
      <c r="T11" s="7">
        <v>0.10009999999999999</v>
      </c>
      <c r="U11" s="7">
        <v>5.62E-2</v>
      </c>
      <c r="V11" s="7">
        <v>0.53669999999999995</v>
      </c>
      <c r="W11" s="7">
        <v>0.37690000000000001</v>
      </c>
      <c r="X11" s="7">
        <v>0.1827</v>
      </c>
      <c r="Y11" s="7">
        <v>9.4600000000000004E-2</v>
      </c>
      <c r="Z11" s="7">
        <v>9.7299999999999998E-2</v>
      </c>
      <c r="AA11" s="10">
        <v>121326.1104012</v>
      </c>
      <c r="AB11" s="10">
        <v>109193.49935529999</v>
      </c>
      <c r="AC11" s="10">
        <v>91435.387003399999</v>
      </c>
      <c r="AD11" s="10">
        <v>77531.162874300004</v>
      </c>
      <c r="AE11" s="10">
        <v>91586.519886599999</v>
      </c>
      <c r="AF11" s="10">
        <v>97242.667569800004</v>
      </c>
      <c r="AG11" s="10">
        <v>117800.3939544</v>
      </c>
      <c r="AH11" s="10">
        <v>133188.73370519999</v>
      </c>
      <c r="AI11" s="10">
        <v>157438.63460220001</v>
      </c>
      <c r="AJ11" s="10">
        <v>189292.49786150001</v>
      </c>
      <c r="AK11" s="10">
        <v>40029.683900600001</v>
      </c>
      <c r="AL11" s="10">
        <v>63782.237295999999</v>
      </c>
      <c r="AM11" s="14">
        <v>60</v>
      </c>
      <c r="AN11" s="14">
        <v>55</v>
      </c>
      <c r="AO11" s="14">
        <v>55</v>
      </c>
      <c r="AP11" s="14">
        <v>55</v>
      </c>
      <c r="AQ11" s="14">
        <v>55</v>
      </c>
      <c r="AR11" s="14">
        <v>55</v>
      </c>
      <c r="AS11" s="14">
        <v>55</v>
      </c>
      <c r="AT11" s="14">
        <v>55</v>
      </c>
      <c r="AU11" s="14">
        <v>50</v>
      </c>
      <c r="AV11" s="14">
        <v>50</v>
      </c>
      <c r="AW11" s="14">
        <v>60</v>
      </c>
      <c r="AX11" s="14">
        <v>60</v>
      </c>
    </row>
    <row r="12" spans="1:50" ht="20.100000000000001" customHeight="1">
      <c r="A12" s="1">
        <v>11</v>
      </c>
      <c r="B12" s="2" t="s">
        <v>9</v>
      </c>
      <c r="C12" s="10">
        <v>806.02769999999998</v>
      </c>
      <c r="D12" s="10">
        <v>4069.7548999999999</v>
      </c>
      <c r="E12" s="10">
        <v>-444.0129</v>
      </c>
      <c r="F12" s="10">
        <v>-1178.44</v>
      </c>
      <c r="G12" s="10">
        <v>82.176199999999994</v>
      </c>
      <c r="H12" s="10">
        <v>1235.0544</v>
      </c>
      <c r="I12" s="10">
        <v>263.34133661099997</v>
      </c>
      <c r="J12" s="10">
        <v>1330.7610157680001</v>
      </c>
      <c r="K12" s="10">
        <v>-145.25126542300001</v>
      </c>
      <c r="L12" s="10">
        <v>-385.50661517399999</v>
      </c>
      <c r="M12" s="10">
        <v>27.040308872000001</v>
      </c>
      <c r="N12" s="10">
        <v>420.31000465400001</v>
      </c>
      <c r="O12" s="7">
        <v>1.2663</v>
      </c>
      <c r="P12" s="7">
        <v>4.0491999999999999</v>
      </c>
      <c r="Q12" s="7"/>
      <c r="R12" s="7">
        <v>-1.6540999999999999</v>
      </c>
      <c r="S12" s="7"/>
      <c r="T12" s="7">
        <v>14.029299999999999</v>
      </c>
      <c r="U12" s="7">
        <v>1.2829999999999999</v>
      </c>
      <c r="V12" s="7">
        <v>4.0533999999999999</v>
      </c>
      <c r="W12" s="7"/>
      <c r="X12" s="7">
        <v>-1.6540999999999999</v>
      </c>
      <c r="Y12" s="7"/>
      <c r="Z12" s="7">
        <v>14.543799999999999</v>
      </c>
      <c r="AA12" s="10">
        <v>19645.363750109998</v>
      </c>
      <c r="AB12" s="10">
        <v>25035.870444554999</v>
      </c>
      <c r="AC12" s="10">
        <v>20992.658297400001</v>
      </c>
      <c r="AD12" s="10">
        <v>11924.322795939999</v>
      </c>
      <c r="AE12" s="10">
        <v>10098.5938578</v>
      </c>
      <c r="AF12" s="10">
        <v>10552.654378519999</v>
      </c>
      <c r="AG12" s="10">
        <v>9478.0947297559997</v>
      </c>
      <c r="AH12" s="10">
        <v>8050.9297929309996</v>
      </c>
      <c r="AI12" s="10">
        <v>11693.541997441</v>
      </c>
      <c r="AJ12" s="10">
        <v>11569.752221426001</v>
      </c>
      <c r="AK12" s="10">
        <v>15305.336551377</v>
      </c>
      <c r="AL12" s="10">
        <v>16479.170167832999</v>
      </c>
      <c r="AM12" s="14">
        <v>100</v>
      </c>
      <c r="AN12" s="14">
        <v>10</v>
      </c>
      <c r="AO12" s="14">
        <v>10</v>
      </c>
      <c r="AP12" s="14">
        <v>10</v>
      </c>
      <c r="AQ12" s="14">
        <v>10</v>
      </c>
      <c r="AR12" s="14">
        <v>10</v>
      </c>
      <c r="AS12" s="14">
        <v>10</v>
      </c>
      <c r="AT12" s="14">
        <v>10</v>
      </c>
      <c r="AU12" s="14">
        <v>10</v>
      </c>
      <c r="AV12" s="14">
        <v>10</v>
      </c>
      <c r="AW12" s="14">
        <v>100</v>
      </c>
      <c r="AX12" s="14">
        <v>100</v>
      </c>
    </row>
    <row r="13" spans="1:50" ht="20.100000000000001" customHeight="1">
      <c r="A13" s="1">
        <v>12</v>
      </c>
      <c r="B13" s="2" t="s">
        <v>10</v>
      </c>
      <c r="C13" s="10">
        <v>1571.2194</v>
      </c>
      <c r="D13" s="10">
        <v>1757.7743</v>
      </c>
      <c r="E13" s="10">
        <v>2706.3036000000002</v>
      </c>
      <c r="F13" s="10">
        <v>1257.1257000000001</v>
      </c>
      <c r="G13" s="10">
        <v>1988.7757999999999</v>
      </c>
      <c r="H13" s="10">
        <v>2874.4623000000001</v>
      </c>
      <c r="I13" s="10">
        <v>10413.76</v>
      </c>
      <c r="J13" s="10">
        <v>11721.208000000001</v>
      </c>
      <c r="K13" s="10">
        <v>18167.968000000001</v>
      </c>
      <c r="L13" s="10">
        <v>9973.9390000000003</v>
      </c>
      <c r="M13" s="10">
        <v>15778.795</v>
      </c>
      <c r="N13" s="10">
        <v>22805.765274246001</v>
      </c>
      <c r="O13" s="7">
        <v>0.252</v>
      </c>
      <c r="P13" s="7">
        <v>0.1187</v>
      </c>
      <c r="Q13" s="7">
        <v>0.53959999999999997</v>
      </c>
      <c r="R13" s="7">
        <v>-0.53549999999999998</v>
      </c>
      <c r="S13" s="7">
        <v>0.58199999999999996</v>
      </c>
      <c r="T13" s="7">
        <v>0.44529999999999997</v>
      </c>
      <c r="U13" s="7">
        <v>0.26069999999999999</v>
      </c>
      <c r="V13" s="7">
        <v>0.12559999999999999</v>
      </c>
      <c r="W13" s="7">
        <v>0.55000000000000004</v>
      </c>
      <c r="X13" s="7">
        <v>-0.45100000000000001</v>
      </c>
      <c r="Y13" s="7">
        <v>0.58199999999999996</v>
      </c>
      <c r="Z13" s="7">
        <v>0.44529999999999997</v>
      </c>
      <c r="AA13" s="10">
        <v>166186.46437820001</v>
      </c>
      <c r="AB13" s="10">
        <v>159147.9472546</v>
      </c>
      <c r="AC13" s="10">
        <v>128918.728223</v>
      </c>
      <c r="AD13" s="10">
        <v>120166.3516179</v>
      </c>
      <c r="AE13" s="10">
        <v>133257.09941985001</v>
      </c>
      <c r="AF13" s="10">
        <v>152331.3331392</v>
      </c>
      <c r="AG13" s="10">
        <v>147967.67515865</v>
      </c>
      <c r="AH13" s="10">
        <v>152331.3331392</v>
      </c>
      <c r="AI13" s="10">
        <v>146777.5866185</v>
      </c>
      <c r="AJ13" s="10">
        <v>222943.2531881</v>
      </c>
      <c r="AK13" s="10">
        <v>49851.954084700003</v>
      </c>
      <c r="AL13" s="10">
        <v>79779.321895000001</v>
      </c>
      <c r="AM13" s="14">
        <v>65</v>
      </c>
      <c r="AN13" s="14">
        <v>65</v>
      </c>
      <c r="AO13" s="14">
        <v>70</v>
      </c>
      <c r="AP13" s="14">
        <v>65</v>
      </c>
      <c r="AQ13" s="14">
        <v>70</v>
      </c>
      <c r="AR13" s="14">
        <v>70</v>
      </c>
      <c r="AS13" s="14">
        <v>60</v>
      </c>
      <c r="AT13" s="14">
        <v>55</v>
      </c>
      <c r="AU13" s="14">
        <v>55</v>
      </c>
      <c r="AV13" s="14">
        <v>60</v>
      </c>
      <c r="AW13" s="14">
        <v>70</v>
      </c>
      <c r="AX13" s="14">
        <v>70</v>
      </c>
    </row>
    <row r="14" spans="1:50" ht="20.100000000000001" customHeight="1">
      <c r="A14" s="1">
        <v>13</v>
      </c>
      <c r="B14" s="2" t="s">
        <v>11</v>
      </c>
      <c r="C14" s="10">
        <v>1466.4837</v>
      </c>
      <c r="D14" s="10">
        <v>1830.5187000000001</v>
      </c>
      <c r="E14" s="10">
        <v>2616.1361000000002</v>
      </c>
      <c r="F14" s="10">
        <v>3075.1001000000001</v>
      </c>
      <c r="G14" s="10">
        <v>3220.1428000000001</v>
      </c>
      <c r="H14" s="10">
        <v>3386.6457999999998</v>
      </c>
      <c r="I14" s="10">
        <v>7682.8230000000003</v>
      </c>
      <c r="J14" s="10">
        <v>9602.7459999999992</v>
      </c>
      <c r="K14" s="10">
        <v>13688.192999999999</v>
      </c>
      <c r="L14" s="10">
        <v>16044.733</v>
      </c>
      <c r="M14" s="10">
        <v>16789.768</v>
      </c>
      <c r="N14" s="10">
        <v>17645.0377156416</v>
      </c>
      <c r="O14" s="7">
        <v>0.28070000000000001</v>
      </c>
      <c r="P14" s="7">
        <v>0.2482</v>
      </c>
      <c r="Q14" s="7">
        <v>0.42920000000000003</v>
      </c>
      <c r="R14" s="7">
        <v>0.1754</v>
      </c>
      <c r="S14" s="7">
        <v>4.7199999999999999E-2</v>
      </c>
      <c r="T14" s="7">
        <v>5.1700000000000003E-2</v>
      </c>
      <c r="U14" s="7">
        <v>0.27839999999999998</v>
      </c>
      <c r="V14" s="7">
        <v>0.24990000000000001</v>
      </c>
      <c r="W14" s="7">
        <v>0.4254</v>
      </c>
      <c r="X14" s="7">
        <v>0.17219999999999999</v>
      </c>
      <c r="Y14" s="7">
        <v>4.6399999999999997E-2</v>
      </c>
      <c r="Z14" s="7">
        <v>5.0900000000000001E-2</v>
      </c>
      <c r="AA14" s="10">
        <v>96459.546277500005</v>
      </c>
      <c r="AB14" s="10">
        <v>93217.208587500005</v>
      </c>
      <c r="AC14" s="10">
        <v>81058.442255999995</v>
      </c>
      <c r="AD14" s="10">
        <v>73965.828558599998</v>
      </c>
      <c r="AE14" s="10">
        <v>85643.310393899999</v>
      </c>
      <c r="AF14" s="10">
        <v>92828.8035562</v>
      </c>
      <c r="AG14" s="10">
        <v>106306.4583056</v>
      </c>
      <c r="AH14" s="10">
        <v>115239.7741296</v>
      </c>
      <c r="AI14" s="10">
        <v>109410.78555869999</v>
      </c>
      <c r="AJ14" s="10">
        <v>127902.74931509999</v>
      </c>
      <c r="AK14" s="10">
        <v>37910.409915600001</v>
      </c>
      <c r="AL14" s="10">
        <v>60739.792726</v>
      </c>
      <c r="AM14" s="14">
        <v>90</v>
      </c>
      <c r="AN14" s="14">
        <v>85</v>
      </c>
      <c r="AO14" s="14">
        <v>85</v>
      </c>
      <c r="AP14" s="14">
        <v>85</v>
      </c>
      <c r="AQ14" s="14">
        <v>85</v>
      </c>
      <c r="AR14" s="14">
        <v>90</v>
      </c>
      <c r="AS14" s="14">
        <v>90</v>
      </c>
      <c r="AT14" s="14">
        <v>90</v>
      </c>
      <c r="AU14" s="14">
        <v>85</v>
      </c>
      <c r="AV14" s="14">
        <v>85</v>
      </c>
      <c r="AW14" s="14">
        <v>95</v>
      </c>
      <c r="AX14" s="14">
        <v>100</v>
      </c>
    </row>
    <row r="15" spans="1:50" ht="20.100000000000001" customHeight="1">
      <c r="A15" s="1">
        <v>14</v>
      </c>
      <c r="B15" s="2" t="s">
        <v>12</v>
      </c>
      <c r="C15" s="10">
        <v>942.6825</v>
      </c>
      <c r="D15" s="10">
        <v>1039.5491</v>
      </c>
      <c r="E15" s="10">
        <v>959.70529999999997</v>
      </c>
      <c r="F15" s="10">
        <v>655.79380000000003</v>
      </c>
      <c r="G15" s="10">
        <v>997.17920000000004</v>
      </c>
      <c r="H15" s="10"/>
      <c r="I15" s="10">
        <v>3770.7298896309999</v>
      </c>
      <c r="J15" s="10">
        <v>4158.1962635110003</v>
      </c>
      <c r="K15" s="10">
        <v>3838.8210723070001</v>
      </c>
      <c r="L15" s="10">
        <v>2623.175190293</v>
      </c>
      <c r="M15" s="10">
        <v>3988.7166184819998</v>
      </c>
      <c r="N15" s="10"/>
      <c r="O15" s="7">
        <v>0.16020000000000001</v>
      </c>
      <c r="P15" s="7">
        <v>0.1028</v>
      </c>
      <c r="Q15" s="7">
        <v>-7.6799999999999993E-2</v>
      </c>
      <c r="R15" s="7">
        <v>-0.31669999999999998</v>
      </c>
      <c r="S15" s="7">
        <v>0.52059999999999995</v>
      </c>
      <c r="T15" s="7"/>
      <c r="U15" s="7">
        <v>0.16020000000000001</v>
      </c>
      <c r="V15" s="7">
        <v>0.1028</v>
      </c>
      <c r="W15" s="7">
        <v>-7.6799999999999993E-2</v>
      </c>
      <c r="X15" s="7">
        <v>-0.31669999999999998</v>
      </c>
      <c r="Y15" s="7">
        <v>0.52059999999999995</v>
      </c>
      <c r="Z15" s="7"/>
      <c r="AA15" s="10">
        <v>140000</v>
      </c>
      <c r="AB15" s="10">
        <v>147800</v>
      </c>
      <c r="AC15" s="10">
        <v>90200</v>
      </c>
      <c r="AD15" s="10">
        <v>55200</v>
      </c>
      <c r="AE15" s="10">
        <v>77600</v>
      </c>
      <c r="AF15" s="10">
        <v>84800</v>
      </c>
      <c r="AG15" s="10">
        <v>136800</v>
      </c>
      <c r="AH15" s="10">
        <v>121400</v>
      </c>
      <c r="AI15" s="10">
        <v>121200</v>
      </c>
      <c r="AJ15" s="10">
        <v>112000</v>
      </c>
      <c r="AK15" s="10">
        <v>44000</v>
      </c>
      <c r="AL15" s="10">
        <v>119800</v>
      </c>
      <c r="AM15" s="14">
        <v>100</v>
      </c>
      <c r="AN15" s="14">
        <v>4</v>
      </c>
      <c r="AO15" s="14">
        <v>4</v>
      </c>
      <c r="AP15" s="14">
        <v>4</v>
      </c>
      <c r="AQ15" s="14">
        <v>4</v>
      </c>
      <c r="AR15" s="14">
        <v>4</v>
      </c>
      <c r="AS15" s="14">
        <v>4</v>
      </c>
      <c r="AT15" s="14">
        <v>4</v>
      </c>
      <c r="AU15" s="14">
        <v>4</v>
      </c>
      <c r="AV15" s="14">
        <v>4</v>
      </c>
      <c r="AW15" s="14">
        <v>100</v>
      </c>
      <c r="AX15" s="14">
        <v>100</v>
      </c>
    </row>
    <row r="16" spans="1:50" ht="20.100000000000001" customHeight="1">
      <c r="A16" s="1">
        <v>15</v>
      </c>
      <c r="B16" s="2" t="s">
        <v>13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0"/>
      <c r="AB16" s="10"/>
      <c r="AC16" s="10"/>
      <c r="AD16" s="10"/>
      <c r="AE16" s="10"/>
      <c r="AF16" s="10"/>
      <c r="AG16" s="10"/>
      <c r="AH16" s="10"/>
      <c r="AI16" s="10"/>
      <c r="AJ16" s="10">
        <v>21349.228319999998</v>
      </c>
      <c r="AK16" s="10"/>
      <c r="AL16" s="10"/>
      <c r="AM16" s="14">
        <v>100</v>
      </c>
      <c r="AN16" s="14">
        <v>100</v>
      </c>
      <c r="AO16" s="14">
        <v>100</v>
      </c>
      <c r="AP16" s="14">
        <v>100</v>
      </c>
      <c r="AQ16" s="14">
        <v>100</v>
      </c>
      <c r="AR16" s="14">
        <v>100</v>
      </c>
      <c r="AS16" s="14">
        <v>100</v>
      </c>
      <c r="AT16" s="14">
        <v>100</v>
      </c>
      <c r="AU16" s="14">
        <v>100</v>
      </c>
      <c r="AV16" s="14">
        <v>10.88</v>
      </c>
      <c r="AW16" s="14">
        <v>100</v>
      </c>
      <c r="AX16" s="14">
        <v>100</v>
      </c>
    </row>
    <row r="17" spans="1:50" ht="20.100000000000001" customHeight="1">
      <c r="A17" s="1">
        <v>16</v>
      </c>
      <c r="B17" s="2" t="s">
        <v>14</v>
      </c>
      <c r="C17" s="10">
        <v>0</v>
      </c>
      <c r="D17" s="10">
        <v>1225.7317</v>
      </c>
      <c r="E17" s="10">
        <v>1223.6971000000001</v>
      </c>
      <c r="F17" s="10">
        <v>462.96159999999998</v>
      </c>
      <c r="G17" s="10">
        <v>2263.9007000000001</v>
      </c>
      <c r="H17" s="10"/>
      <c r="I17" s="10">
        <v>201.705003734</v>
      </c>
      <c r="J17" s="10">
        <v>367.71951177300002</v>
      </c>
      <c r="K17" s="10">
        <v>367.10914296700003</v>
      </c>
      <c r="L17" s="10">
        <v>138.888465897</v>
      </c>
      <c r="M17" s="10">
        <v>679.170213386</v>
      </c>
      <c r="N17" s="10"/>
      <c r="O17" s="7">
        <v>0</v>
      </c>
      <c r="P17" s="7">
        <v>0</v>
      </c>
      <c r="Q17" s="7">
        <v>-1.6999999999999999E-3</v>
      </c>
      <c r="R17" s="7">
        <v>-0.62170000000000003</v>
      </c>
      <c r="S17" s="7">
        <v>3.89</v>
      </c>
      <c r="T17" s="7"/>
      <c r="U17" s="7">
        <v>-8.8099999999999998E-2</v>
      </c>
      <c r="V17" s="7">
        <v>0.82310000000000005</v>
      </c>
      <c r="W17" s="7">
        <v>-1.6999999999999999E-3</v>
      </c>
      <c r="X17" s="7">
        <v>-0.62170000000000003</v>
      </c>
      <c r="Y17" s="7">
        <v>3.89</v>
      </c>
      <c r="Z17" s="7"/>
      <c r="AA17" s="10"/>
      <c r="AB17" s="10">
        <v>23040</v>
      </c>
      <c r="AC17" s="10">
        <v>25200</v>
      </c>
      <c r="AD17" s="10">
        <v>21450</v>
      </c>
      <c r="AE17" s="10">
        <v>12150</v>
      </c>
      <c r="AF17" s="10">
        <v>12510</v>
      </c>
      <c r="AG17" s="10">
        <v>12090</v>
      </c>
      <c r="AH17" s="10">
        <v>12150</v>
      </c>
      <c r="AI17" s="10">
        <v>19590</v>
      </c>
      <c r="AJ17" s="10">
        <v>70993.218601200002</v>
      </c>
      <c r="AK17" s="10"/>
      <c r="AL17" s="10"/>
      <c r="AM17" s="14">
        <v>100</v>
      </c>
      <c r="AN17" s="14">
        <v>50</v>
      </c>
      <c r="AO17" s="14">
        <v>45.759399999999999</v>
      </c>
      <c r="AP17" s="14">
        <v>45</v>
      </c>
      <c r="AQ17" s="14">
        <v>50</v>
      </c>
      <c r="AR17" s="14">
        <v>50</v>
      </c>
      <c r="AS17" s="14">
        <v>50</v>
      </c>
      <c r="AT17" s="14">
        <v>50</v>
      </c>
      <c r="AU17" s="14">
        <v>50</v>
      </c>
      <c r="AV17" s="14">
        <v>50</v>
      </c>
      <c r="AW17" s="14">
        <v>100</v>
      </c>
      <c r="AX17" s="14">
        <v>100</v>
      </c>
    </row>
    <row r="18" spans="1:50" ht="20.100000000000001" customHeight="1">
      <c r="A18" s="1">
        <v>17</v>
      </c>
      <c r="B18" s="2" t="s">
        <v>15</v>
      </c>
      <c r="C18" s="10">
        <v>18.863399999999999</v>
      </c>
      <c r="D18" s="10">
        <v>-1009.8149</v>
      </c>
      <c r="E18" s="10">
        <v>-3226.2296000000001</v>
      </c>
      <c r="F18" s="10">
        <v>-990.89509999999996</v>
      </c>
      <c r="G18" s="10">
        <v>-1156.3520000000001</v>
      </c>
      <c r="H18" s="10"/>
      <c r="I18" s="10">
        <v>20.911041999999998</v>
      </c>
      <c r="J18" s="10">
        <v>-1119.4303110000001</v>
      </c>
      <c r="K18" s="10">
        <v>-3576.4497019999999</v>
      </c>
      <c r="L18" s="10">
        <v>-1098.460718</v>
      </c>
      <c r="M18" s="10">
        <v>-1281.8786480000001</v>
      </c>
      <c r="N18" s="10"/>
      <c r="O18" s="7"/>
      <c r="P18" s="7"/>
      <c r="Q18" s="7">
        <v>-2.1949000000000001</v>
      </c>
      <c r="R18" s="7">
        <v>0.69289999999999996</v>
      </c>
      <c r="S18" s="7">
        <v>-0.16700000000000001</v>
      </c>
      <c r="T18" s="7"/>
      <c r="U18" s="7"/>
      <c r="V18" s="7"/>
      <c r="W18" s="7">
        <v>-2.1949000000000001</v>
      </c>
      <c r="X18" s="7">
        <v>0.69289999999999996</v>
      </c>
      <c r="Y18" s="7">
        <v>-0.16700000000000001</v>
      </c>
      <c r="Z18" s="7"/>
      <c r="AA18" s="10">
        <v>11972.382066</v>
      </c>
      <c r="AB18" s="10">
        <v>13579.785213749999</v>
      </c>
      <c r="AC18" s="10">
        <v>5542.7694750000001</v>
      </c>
      <c r="AD18" s="10">
        <v>4611.5842032</v>
      </c>
      <c r="AE18" s="10">
        <v>4511.8143526499998</v>
      </c>
      <c r="AF18" s="10">
        <v>5210.2033064999996</v>
      </c>
      <c r="AG18" s="10">
        <v>5376.4863907500003</v>
      </c>
      <c r="AH18" s="10">
        <v>6806.5209152999996</v>
      </c>
      <c r="AI18" s="10">
        <v>6630.2608459949997</v>
      </c>
      <c r="AJ18" s="10">
        <v>6519.4054564950002</v>
      </c>
      <c r="AK18" s="10">
        <v>16960.874593500001</v>
      </c>
      <c r="AL18" s="10">
        <v>16129.459172250001</v>
      </c>
      <c r="AM18" s="14">
        <v>45</v>
      </c>
      <c r="AN18" s="14">
        <v>50</v>
      </c>
      <c r="AO18" s="14">
        <v>55</v>
      </c>
      <c r="AP18" s="14">
        <v>60</v>
      </c>
      <c r="AQ18" s="14">
        <v>55</v>
      </c>
      <c r="AR18" s="14">
        <v>55</v>
      </c>
      <c r="AS18" s="14">
        <v>55</v>
      </c>
      <c r="AT18" s="14">
        <v>65</v>
      </c>
      <c r="AU18" s="14">
        <v>65</v>
      </c>
      <c r="AV18" s="14">
        <v>65</v>
      </c>
      <c r="AW18" s="14">
        <v>40</v>
      </c>
      <c r="AX18" s="14">
        <v>40</v>
      </c>
    </row>
    <row r="19" spans="1:50" ht="20.100000000000001" customHeight="1">
      <c r="A19" s="1">
        <v>18</v>
      </c>
      <c r="B19" s="2" t="s">
        <v>16</v>
      </c>
      <c r="C19" s="10">
        <v>0</v>
      </c>
      <c r="D19" s="10">
        <v>0</v>
      </c>
      <c r="E19" s="10">
        <v>1156.3439000000001</v>
      </c>
      <c r="F19" s="10">
        <v>917.21600000000001</v>
      </c>
      <c r="G19" s="10">
        <v>1017.361</v>
      </c>
      <c r="H19" s="10"/>
      <c r="I19" s="10">
        <v>21.523631182999999</v>
      </c>
      <c r="J19" s="10">
        <v>50.140891760999999</v>
      </c>
      <c r="K19" s="10">
        <v>54.415230944999998</v>
      </c>
      <c r="L19" s="10">
        <v>43.162348835000003</v>
      </c>
      <c r="M19" s="10">
        <v>47.874884655999999</v>
      </c>
      <c r="N19" s="10"/>
      <c r="O19" s="7">
        <v>0</v>
      </c>
      <c r="P19" s="7">
        <v>0</v>
      </c>
      <c r="Q19" s="7">
        <v>0</v>
      </c>
      <c r="R19" s="7">
        <v>-0.20680000000000001</v>
      </c>
      <c r="S19" s="7">
        <v>0.10920000000000001</v>
      </c>
      <c r="T19" s="7"/>
      <c r="U19" s="7">
        <v>1.3045</v>
      </c>
      <c r="V19" s="7">
        <v>1.3295999999999999</v>
      </c>
      <c r="W19" s="7">
        <v>8.5199999999999998E-2</v>
      </c>
      <c r="X19" s="7">
        <v>-0.20680000000000001</v>
      </c>
      <c r="Y19" s="7">
        <v>0.10920000000000001</v>
      </c>
      <c r="Z19" s="7"/>
      <c r="AA19" s="10"/>
      <c r="AB19" s="10"/>
      <c r="AC19" s="10"/>
      <c r="AD19" s="10">
        <v>456.32</v>
      </c>
      <c r="AE19" s="10">
        <v>513.36</v>
      </c>
      <c r="AF19" s="10">
        <v>413.54</v>
      </c>
      <c r="AG19" s="10">
        <v>442.06</v>
      </c>
      <c r="AH19" s="10">
        <v>333.68334479999999</v>
      </c>
      <c r="AI19" s="10">
        <v>299.45941199999999</v>
      </c>
      <c r="AJ19" s="10">
        <v>310.58139419999998</v>
      </c>
      <c r="AK19" s="10"/>
      <c r="AL19" s="10"/>
      <c r="AM19" s="14">
        <v>100</v>
      </c>
      <c r="AN19" s="14">
        <v>100</v>
      </c>
      <c r="AO19" s="14">
        <v>100</v>
      </c>
      <c r="AP19" s="14">
        <v>75</v>
      </c>
      <c r="AQ19" s="14">
        <v>75</v>
      </c>
      <c r="AR19" s="14">
        <v>75</v>
      </c>
      <c r="AS19" s="14">
        <v>80</v>
      </c>
      <c r="AT19" s="14">
        <v>80</v>
      </c>
      <c r="AU19" s="14">
        <v>85</v>
      </c>
      <c r="AV19" s="14">
        <v>85</v>
      </c>
      <c r="AW19" s="14">
        <v>100</v>
      </c>
      <c r="AX19" s="14">
        <v>100</v>
      </c>
    </row>
    <row r="20" spans="1:50" ht="20.100000000000001" customHeight="1">
      <c r="A20" s="1">
        <v>19</v>
      </c>
      <c r="B20" s="2" t="s">
        <v>17</v>
      </c>
      <c r="C20" s="10">
        <v>4374.7534999999998</v>
      </c>
      <c r="D20" s="10">
        <v>3252.3910000000001</v>
      </c>
      <c r="E20" s="10">
        <v>1286.9465</v>
      </c>
      <c r="F20" s="10">
        <v>1552.5367000000001</v>
      </c>
      <c r="G20" s="10">
        <v>4449.2975999999999</v>
      </c>
      <c r="H20" s="10"/>
      <c r="I20" s="10">
        <v>141.82246453299999</v>
      </c>
      <c r="J20" s="10">
        <v>105.43728055</v>
      </c>
      <c r="K20" s="10">
        <v>41.720734634999999</v>
      </c>
      <c r="L20" s="10">
        <v>50.330741340000003</v>
      </c>
      <c r="M20" s="10">
        <v>144.23732940100001</v>
      </c>
      <c r="N20" s="10"/>
      <c r="O20" s="7">
        <v>0.2011</v>
      </c>
      <c r="P20" s="7">
        <v>-0.25659999999999999</v>
      </c>
      <c r="Q20" s="7">
        <v>-0.60429999999999995</v>
      </c>
      <c r="R20" s="7">
        <v>0.2064</v>
      </c>
      <c r="S20" s="7">
        <v>1.8657999999999999</v>
      </c>
      <c r="T20" s="7"/>
      <c r="U20" s="7">
        <v>0.2011</v>
      </c>
      <c r="V20" s="7">
        <v>-0.25659999999999999</v>
      </c>
      <c r="W20" s="7">
        <v>-0.60429999999999995</v>
      </c>
      <c r="X20" s="7">
        <v>0.2064</v>
      </c>
      <c r="Y20" s="7">
        <v>1.8657999999999999</v>
      </c>
      <c r="Z20" s="7"/>
      <c r="AA20" s="10">
        <v>2950.073672</v>
      </c>
      <c r="AB20" s="10">
        <v>2431.3793999999998</v>
      </c>
      <c r="AC20" s="10">
        <v>3079.7472400000001</v>
      </c>
      <c r="AD20" s="10">
        <v>4052.299</v>
      </c>
      <c r="AE20" s="10">
        <v>3777.1316887040002</v>
      </c>
      <c r="AF20" s="10">
        <v>2739.354124</v>
      </c>
      <c r="AG20" s="10">
        <v>2586.9876816000001</v>
      </c>
      <c r="AH20" s="10">
        <v>3112.1656320000002</v>
      </c>
      <c r="AI20" s="10">
        <v>3841.5794519999999</v>
      </c>
      <c r="AJ20" s="10">
        <v>4506.1564879999996</v>
      </c>
      <c r="AK20" s="10">
        <v>2537.1044099999999</v>
      </c>
      <c r="AL20" s="10">
        <v>3566.0231199999998</v>
      </c>
      <c r="AM20" s="14">
        <v>100</v>
      </c>
      <c r="AN20" s="14">
        <v>30</v>
      </c>
      <c r="AO20" s="14">
        <v>30</v>
      </c>
      <c r="AP20" s="14">
        <v>30</v>
      </c>
      <c r="AQ20" s="14">
        <v>30</v>
      </c>
      <c r="AR20" s="14">
        <v>10</v>
      </c>
      <c r="AS20" s="14">
        <v>10</v>
      </c>
      <c r="AT20" s="14">
        <v>10</v>
      </c>
      <c r="AU20" s="14">
        <v>10</v>
      </c>
      <c r="AV20" s="14">
        <v>10</v>
      </c>
      <c r="AW20" s="14">
        <v>100</v>
      </c>
      <c r="AX20" s="14">
        <v>100</v>
      </c>
    </row>
    <row r="21" spans="1:50" ht="20.100000000000001" customHeight="1">
      <c r="A21" s="1">
        <v>20</v>
      </c>
      <c r="B21" s="2" t="s">
        <v>18</v>
      </c>
      <c r="C21" s="10">
        <v>-491.9932</v>
      </c>
      <c r="D21" s="10">
        <v>-697.79160000000002</v>
      </c>
      <c r="E21" s="10">
        <v>-18.4483</v>
      </c>
      <c r="F21" s="10">
        <v>46.260399999999997</v>
      </c>
      <c r="G21" s="10">
        <v>8.6217000000000006</v>
      </c>
      <c r="H21" s="10"/>
      <c r="I21" s="10">
        <v>-245.996577067</v>
      </c>
      <c r="J21" s="10">
        <v>-348.895795341</v>
      </c>
      <c r="K21" s="10">
        <v>-9.2241418179999997</v>
      </c>
      <c r="L21" s="10">
        <v>23.130176416000001</v>
      </c>
      <c r="M21" s="10">
        <v>4.3108571720000004</v>
      </c>
      <c r="N21" s="10"/>
      <c r="O21" s="7">
        <v>-0.2039</v>
      </c>
      <c r="P21" s="7">
        <v>-0.41830000000000001</v>
      </c>
      <c r="Q21" s="7">
        <v>0.97360000000000002</v>
      </c>
      <c r="R21" s="7"/>
      <c r="S21" s="7">
        <v>-0.81359999999999999</v>
      </c>
      <c r="T21" s="7"/>
      <c r="U21" s="7">
        <v>-0.2039</v>
      </c>
      <c r="V21" s="7">
        <v>-0.41830000000000001</v>
      </c>
      <c r="W21" s="7">
        <v>0.97360000000000002</v>
      </c>
      <c r="X21" s="7"/>
      <c r="Y21" s="7">
        <v>-0.81359999999999999</v>
      </c>
      <c r="Z21" s="7"/>
      <c r="AA21" s="10">
        <v>3285.5</v>
      </c>
      <c r="AB21" s="10">
        <v>3926.5</v>
      </c>
      <c r="AC21" s="10">
        <v>3350</v>
      </c>
      <c r="AD21" s="10">
        <v>2121.5</v>
      </c>
      <c r="AE21" s="10">
        <v>3910.5</v>
      </c>
      <c r="AF21" s="10">
        <v>19089.5</v>
      </c>
      <c r="AG21" s="10">
        <v>16489.5</v>
      </c>
      <c r="AH21" s="10">
        <v>17590</v>
      </c>
      <c r="AI21" s="10">
        <v>13547</v>
      </c>
      <c r="AJ21" s="10">
        <v>12576</v>
      </c>
      <c r="AK21" s="10">
        <v>3750</v>
      </c>
      <c r="AL21" s="10">
        <v>3750</v>
      </c>
      <c r="AM21" s="14">
        <v>100</v>
      </c>
      <c r="AN21" s="14">
        <v>25</v>
      </c>
      <c r="AO21" s="14">
        <v>25</v>
      </c>
      <c r="AP21" s="14">
        <v>25</v>
      </c>
      <c r="AQ21" s="14">
        <v>25</v>
      </c>
      <c r="AR21" s="14">
        <v>25</v>
      </c>
      <c r="AS21" s="14">
        <v>25</v>
      </c>
      <c r="AT21" s="14">
        <v>25</v>
      </c>
      <c r="AU21" s="14">
        <v>25</v>
      </c>
      <c r="AV21" s="14">
        <v>25</v>
      </c>
      <c r="AW21" s="14">
        <v>100</v>
      </c>
      <c r="AX21" s="14">
        <v>100</v>
      </c>
    </row>
    <row r="22" spans="1:50" ht="20.100000000000001" customHeight="1">
      <c r="A22" s="1">
        <v>21</v>
      </c>
      <c r="B22" s="2" t="s">
        <v>19</v>
      </c>
      <c r="C22" s="10">
        <v>1261.3457000000001</v>
      </c>
      <c r="D22" s="10">
        <v>383.40039999999999</v>
      </c>
      <c r="E22" s="10">
        <v>407.67700000000002</v>
      </c>
      <c r="F22" s="10">
        <v>1008.6328</v>
      </c>
      <c r="G22" s="10">
        <v>1090.6275000000001</v>
      </c>
      <c r="H22" s="10"/>
      <c r="I22" s="10">
        <v>94.345380368999997</v>
      </c>
      <c r="J22" s="10">
        <v>28.677352155000001</v>
      </c>
      <c r="K22" s="10">
        <v>30.493176692999999</v>
      </c>
      <c r="L22" s="10">
        <v>75.443112885999994</v>
      </c>
      <c r="M22" s="10">
        <v>81.576104092999998</v>
      </c>
      <c r="N22" s="10"/>
      <c r="O22" s="7">
        <v>0.15559999999999999</v>
      </c>
      <c r="P22" s="7">
        <v>-0.69599999999999995</v>
      </c>
      <c r="Q22" s="7">
        <v>6.3299999999999995E-2</v>
      </c>
      <c r="R22" s="7">
        <v>1.4741</v>
      </c>
      <c r="S22" s="7">
        <v>8.1299999999999997E-2</v>
      </c>
      <c r="T22" s="7"/>
      <c r="U22" s="7">
        <v>0.15559999999999999</v>
      </c>
      <c r="V22" s="7">
        <v>-0.69599999999999995</v>
      </c>
      <c r="W22" s="7">
        <v>6.3299999999999995E-2</v>
      </c>
      <c r="X22" s="7">
        <v>1.4741</v>
      </c>
      <c r="Y22" s="7">
        <v>8.1299999999999997E-2</v>
      </c>
      <c r="Z22" s="7"/>
      <c r="AA22" s="10">
        <v>2154.1651200000001</v>
      </c>
      <c r="AB22" s="10">
        <v>1593.18462</v>
      </c>
      <c r="AC22" s="10">
        <v>2410.1218227999998</v>
      </c>
      <c r="AD22" s="10">
        <v>3313.5248200000001</v>
      </c>
      <c r="AE22" s="10">
        <v>3261.1666399999999</v>
      </c>
      <c r="AF22" s="10">
        <v>3291.0855999999999</v>
      </c>
      <c r="AG22" s="10">
        <v>1353.83294</v>
      </c>
      <c r="AH22" s="10">
        <v>2766.4566364000002</v>
      </c>
      <c r="AI22" s="10">
        <v>2879.6999000000001</v>
      </c>
      <c r="AJ22" s="10">
        <v>2468.3141999999998</v>
      </c>
      <c r="AK22" s="10">
        <v>2250.1301841999998</v>
      </c>
      <c r="AL22" s="10">
        <v>2071.88798</v>
      </c>
      <c r="AM22" s="14">
        <v>100</v>
      </c>
      <c r="AN22" s="14">
        <v>30</v>
      </c>
      <c r="AO22" s="14">
        <v>30</v>
      </c>
      <c r="AP22" s="14">
        <v>30</v>
      </c>
      <c r="AQ22" s="14">
        <v>30</v>
      </c>
      <c r="AR22" s="14">
        <v>30</v>
      </c>
      <c r="AS22" s="14">
        <v>30</v>
      </c>
      <c r="AT22" s="14">
        <v>30</v>
      </c>
      <c r="AU22" s="14">
        <v>30</v>
      </c>
      <c r="AV22" s="14">
        <v>30</v>
      </c>
      <c r="AW22" s="14">
        <v>100</v>
      </c>
      <c r="AX22" s="14">
        <v>100</v>
      </c>
    </row>
    <row r="23" spans="1:50" ht="20.100000000000001" customHeight="1">
      <c r="A23" s="1">
        <v>22</v>
      </c>
      <c r="B23" s="2" t="s">
        <v>20</v>
      </c>
      <c r="C23" s="10">
        <v>759.39329999999995</v>
      </c>
      <c r="D23" s="10">
        <v>784.37450000000001</v>
      </c>
      <c r="E23" s="10">
        <v>1205.3643999999999</v>
      </c>
      <c r="F23" s="10">
        <v>596.62249999999995</v>
      </c>
      <c r="G23" s="10">
        <v>1361.5693000000001</v>
      </c>
      <c r="H23" s="10"/>
      <c r="I23" s="10">
        <v>129.143180427</v>
      </c>
      <c r="J23" s="10">
        <v>133.39150461</v>
      </c>
      <c r="K23" s="10">
        <v>204.984264889</v>
      </c>
      <c r="L23" s="10">
        <v>101.46043480199999</v>
      </c>
      <c r="M23" s="10">
        <v>231.545747912</v>
      </c>
      <c r="N23" s="10"/>
      <c r="O23" s="7">
        <v>0</v>
      </c>
      <c r="P23" s="7">
        <v>3.2899999999999999E-2</v>
      </c>
      <c r="Q23" s="7">
        <v>0.53669999999999995</v>
      </c>
      <c r="R23" s="7">
        <v>-0.505</v>
      </c>
      <c r="S23" s="7">
        <v>1.2821</v>
      </c>
      <c r="T23" s="7"/>
      <c r="U23" s="7">
        <v>0.7127</v>
      </c>
      <c r="V23" s="7">
        <v>3.2899999999999999E-2</v>
      </c>
      <c r="W23" s="7">
        <v>0.53669999999999995</v>
      </c>
      <c r="X23" s="7">
        <v>-0.505</v>
      </c>
      <c r="Y23" s="7">
        <v>1.2821</v>
      </c>
      <c r="Z23" s="7"/>
      <c r="AA23" s="10">
        <v>2025</v>
      </c>
      <c r="AB23" s="10">
        <v>2405.6984160000002</v>
      </c>
      <c r="AC23" s="10">
        <v>1720.4388672</v>
      </c>
      <c r="AD23" s="10">
        <v>1503.77104835</v>
      </c>
      <c r="AE23" s="10">
        <v>1432.9127266999999</v>
      </c>
      <c r="AF23" s="10">
        <v>1358.76016807</v>
      </c>
      <c r="AG23" s="10">
        <v>1768.5989672000001</v>
      </c>
      <c r="AH23" s="10">
        <v>2125.7199125000002</v>
      </c>
      <c r="AI23" s="10">
        <v>1802.6104858000001</v>
      </c>
      <c r="AJ23" s="10">
        <v>1938.6565602000001</v>
      </c>
      <c r="AK23" s="10"/>
      <c r="AL23" s="10">
        <v>2659.5</v>
      </c>
      <c r="AM23" s="14">
        <v>100</v>
      </c>
      <c r="AN23" s="14">
        <v>35</v>
      </c>
      <c r="AO23" s="14">
        <v>35</v>
      </c>
      <c r="AP23" s="14">
        <v>35</v>
      </c>
      <c r="AQ23" s="14">
        <v>35</v>
      </c>
      <c r="AR23" s="14">
        <v>35</v>
      </c>
      <c r="AS23" s="14">
        <v>35</v>
      </c>
      <c r="AT23" s="14">
        <v>35</v>
      </c>
      <c r="AU23" s="14">
        <v>35</v>
      </c>
      <c r="AV23" s="14">
        <v>30</v>
      </c>
      <c r="AW23" s="14">
        <v>100</v>
      </c>
      <c r="AX23" s="14">
        <v>100</v>
      </c>
    </row>
    <row r="24" spans="1:50" ht="20.100000000000001" customHeight="1">
      <c r="A24" s="1">
        <v>23</v>
      </c>
      <c r="B24" s="2" t="s">
        <v>21</v>
      </c>
      <c r="C24" s="10">
        <v>2131.5156000000002</v>
      </c>
      <c r="D24" s="10">
        <v>2493.6601999999998</v>
      </c>
      <c r="E24" s="10">
        <v>2265.6273999999999</v>
      </c>
      <c r="F24" s="10">
        <v>1652.6521</v>
      </c>
      <c r="G24" s="10">
        <v>1816.5456999999999</v>
      </c>
      <c r="H24" s="10"/>
      <c r="I24" s="10">
        <v>148.58275356600001</v>
      </c>
      <c r="J24" s="10">
        <v>173.82696588300001</v>
      </c>
      <c r="K24" s="10">
        <v>157.93135852399999</v>
      </c>
      <c r="L24" s="10">
        <v>115.202344188</v>
      </c>
      <c r="M24" s="10">
        <v>126.626969757</v>
      </c>
      <c r="N24" s="10"/>
      <c r="O24" s="7">
        <v>-0.1087</v>
      </c>
      <c r="P24" s="7">
        <v>0.1699</v>
      </c>
      <c r="Q24" s="7">
        <v>-9.1399999999999995E-2</v>
      </c>
      <c r="R24" s="7">
        <v>-0.27060000000000001</v>
      </c>
      <c r="S24" s="7">
        <v>9.9199999999999997E-2</v>
      </c>
      <c r="T24" s="7"/>
      <c r="U24" s="7">
        <v>-0.1087</v>
      </c>
      <c r="V24" s="7">
        <v>0.1699</v>
      </c>
      <c r="W24" s="7">
        <v>-9.1399999999999995E-2</v>
      </c>
      <c r="X24" s="7">
        <v>-0.27060000000000001</v>
      </c>
      <c r="Y24" s="7">
        <v>9.9199999999999997E-2</v>
      </c>
      <c r="Z24" s="7"/>
      <c r="AA24" s="10">
        <v>1789.1607194999999</v>
      </c>
      <c r="AB24" s="10">
        <v>1719.4531589999999</v>
      </c>
      <c r="AC24" s="10">
        <v>1719.4531589999999</v>
      </c>
      <c r="AD24" s="10">
        <v>1547.5078430999999</v>
      </c>
      <c r="AE24" s="10">
        <v>1426.6814049</v>
      </c>
      <c r="AF24" s="10">
        <v>1126.9388947499999</v>
      </c>
      <c r="AG24" s="10">
        <v>2370.057057</v>
      </c>
      <c r="AH24" s="10">
        <v>1984.3418889</v>
      </c>
      <c r="AI24" s="10">
        <v>1672.98144</v>
      </c>
      <c r="AJ24" s="10">
        <v>1662.5197728000001</v>
      </c>
      <c r="AK24" s="10">
        <v>985.2001884</v>
      </c>
      <c r="AL24" s="10">
        <v>1277.9719425000001</v>
      </c>
      <c r="AM24" s="14">
        <v>35</v>
      </c>
      <c r="AN24" s="14">
        <v>20</v>
      </c>
      <c r="AO24" s="14">
        <v>20</v>
      </c>
      <c r="AP24" s="14">
        <v>20</v>
      </c>
      <c r="AQ24" s="14">
        <v>35</v>
      </c>
      <c r="AR24" s="14">
        <v>35</v>
      </c>
      <c r="AS24" s="14">
        <v>25</v>
      </c>
      <c r="AT24" s="14">
        <v>35</v>
      </c>
      <c r="AU24" s="14">
        <v>30</v>
      </c>
      <c r="AV24" s="14">
        <v>35</v>
      </c>
      <c r="AW24" s="14">
        <v>40</v>
      </c>
      <c r="AX24" s="14">
        <v>40</v>
      </c>
    </row>
    <row r="25" spans="1:50" ht="20.100000000000001" customHeight="1">
      <c r="A25" s="1">
        <v>24</v>
      </c>
      <c r="B25" s="2" t="s">
        <v>22</v>
      </c>
      <c r="C25" s="10">
        <v>1063.1176</v>
      </c>
      <c r="D25" s="10">
        <v>1266.5752</v>
      </c>
      <c r="E25" s="10">
        <v>1302.8739</v>
      </c>
      <c r="F25" s="10">
        <v>1793.4940999999999</v>
      </c>
      <c r="G25" s="10">
        <v>1898.9632999999999</v>
      </c>
      <c r="H25" s="10"/>
      <c r="I25" s="10">
        <v>61.189893648999998</v>
      </c>
      <c r="J25" s="10">
        <v>77.492298832000003</v>
      </c>
      <c r="K25" s="10">
        <v>79.713145209999993</v>
      </c>
      <c r="L25" s="10">
        <v>109.730541729</v>
      </c>
      <c r="M25" s="10">
        <v>116.18296193899999</v>
      </c>
      <c r="N25" s="10"/>
      <c r="O25" s="7">
        <v>0.19389999999999999</v>
      </c>
      <c r="P25" s="7">
        <v>0.19139999999999999</v>
      </c>
      <c r="Q25" s="7">
        <v>2.87E-2</v>
      </c>
      <c r="R25" s="7">
        <v>0.37659999999999999</v>
      </c>
      <c r="S25" s="7">
        <v>5.8799999999999998E-2</v>
      </c>
      <c r="T25" s="7"/>
      <c r="U25" s="7">
        <v>0.27800000000000002</v>
      </c>
      <c r="V25" s="7">
        <v>0.26640000000000003</v>
      </c>
      <c r="W25" s="7">
        <v>2.87E-2</v>
      </c>
      <c r="X25" s="7">
        <v>0.37659999999999999</v>
      </c>
      <c r="Y25" s="7">
        <v>5.8799999999999998E-2</v>
      </c>
      <c r="Z25" s="7"/>
      <c r="AA25" s="10">
        <v>1755.8529839</v>
      </c>
      <c r="AB25" s="10">
        <v>1529.0294589</v>
      </c>
      <c r="AC25" s="10">
        <v>717.32246220000002</v>
      </c>
      <c r="AD25" s="10">
        <v>480.35885500000001</v>
      </c>
      <c r="AE25" s="10">
        <v>705.36905549999994</v>
      </c>
      <c r="AF25" s="10">
        <v>778.68698600000005</v>
      </c>
      <c r="AG25" s="10">
        <v>953.13309649999997</v>
      </c>
      <c r="AH25" s="10">
        <v>1106.8436913999999</v>
      </c>
      <c r="AI25" s="10">
        <v>1354.3539641</v>
      </c>
      <c r="AJ25" s="10">
        <v>2077.1286283999998</v>
      </c>
      <c r="AK25" s="10">
        <v>1367.6021721</v>
      </c>
      <c r="AL25" s="10">
        <v>1384.3073013000001</v>
      </c>
      <c r="AM25" s="14">
        <v>15</v>
      </c>
      <c r="AN25" s="14">
        <v>15</v>
      </c>
      <c r="AO25" s="14">
        <v>20</v>
      </c>
      <c r="AP25" s="14">
        <v>20</v>
      </c>
      <c r="AQ25" s="14">
        <v>20</v>
      </c>
      <c r="AR25" s="14">
        <v>25</v>
      </c>
      <c r="AS25" s="14">
        <v>30</v>
      </c>
      <c r="AT25" s="14">
        <v>30</v>
      </c>
      <c r="AU25" s="14">
        <v>30</v>
      </c>
      <c r="AV25" s="14">
        <v>55</v>
      </c>
      <c r="AW25" s="14">
        <v>12</v>
      </c>
      <c r="AX25" s="14">
        <v>12</v>
      </c>
    </row>
    <row r="26" spans="1:50" ht="20.100000000000001" customHeight="1">
      <c r="A26" s="1">
        <v>25</v>
      </c>
      <c r="B26" s="2" t="s">
        <v>23</v>
      </c>
      <c r="C26" s="10">
        <v>0</v>
      </c>
      <c r="D26" s="10">
        <v>800.97159999999997</v>
      </c>
      <c r="E26" s="10">
        <v>1090.9668999999999</v>
      </c>
      <c r="F26" s="10">
        <v>911.47109999999998</v>
      </c>
      <c r="G26" s="10">
        <v>1062.0546999999999</v>
      </c>
      <c r="H26" s="10"/>
      <c r="I26" s="10">
        <v>332.01600275999999</v>
      </c>
      <c r="J26" s="10">
        <v>653.88962408199995</v>
      </c>
      <c r="K26" s="10">
        <v>890.62782966199995</v>
      </c>
      <c r="L26" s="10">
        <v>744.09365187399999</v>
      </c>
      <c r="M26" s="10">
        <v>867.02490185900001</v>
      </c>
      <c r="N26" s="10"/>
      <c r="O26" s="7">
        <v>0</v>
      </c>
      <c r="P26" s="7">
        <v>0</v>
      </c>
      <c r="Q26" s="7">
        <v>0.36209999999999998</v>
      </c>
      <c r="R26" s="7">
        <v>-0.16450000000000001</v>
      </c>
      <c r="S26" s="7">
        <v>0.16520000000000001</v>
      </c>
      <c r="T26" s="7"/>
      <c r="U26" s="7">
        <v>0.60089999999999999</v>
      </c>
      <c r="V26" s="7">
        <v>0.96950000000000003</v>
      </c>
      <c r="W26" s="7">
        <v>0.36199999999999999</v>
      </c>
      <c r="X26" s="7">
        <v>-0.16450000000000001</v>
      </c>
      <c r="Y26" s="7">
        <v>0.16520000000000001</v>
      </c>
      <c r="Z26" s="7"/>
      <c r="AA26" s="10"/>
      <c r="AB26" s="10">
        <v>7988.4309183510004</v>
      </c>
      <c r="AC26" s="10">
        <v>5156.0784506070004</v>
      </c>
      <c r="AD26" s="10">
        <v>4271.08394013</v>
      </c>
      <c r="AE26" s="10">
        <v>4307.2612630109998</v>
      </c>
      <c r="AF26" s="10">
        <v>3792.679342032</v>
      </c>
      <c r="AG26" s="10">
        <v>5339.6648652269996</v>
      </c>
      <c r="AH26" s="10">
        <v>5029.1878405019997</v>
      </c>
      <c r="AI26" s="10">
        <v>8182.0145315789996</v>
      </c>
      <c r="AJ26" s="10">
        <v>9061.6034591999996</v>
      </c>
      <c r="AK26" s="10"/>
      <c r="AL26" s="10"/>
      <c r="AM26" s="14">
        <v>100</v>
      </c>
      <c r="AN26" s="14">
        <v>90</v>
      </c>
      <c r="AO26" s="14">
        <v>75.900199999999998</v>
      </c>
      <c r="AP26" s="14">
        <v>90</v>
      </c>
      <c r="AQ26" s="14">
        <v>90</v>
      </c>
      <c r="AR26" s="14">
        <v>90</v>
      </c>
      <c r="AS26" s="14">
        <v>90</v>
      </c>
      <c r="AT26" s="14">
        <v>90</v>
      </c>
      <c r="AU26" s="14">
        <v>90</v>
      </c>
      <c r="AV26" s="14">
        <v>90</v>
      </c>
      <c r="AW26" s="14">
        <v>100</v>
      </c>
      <c r="AX26" s="14">
        <v>100</v>
      </c>
    </row>
    <row r="27" spans="1:50" ht="20.100000000000001" customHeight="1">
      <c r="A27" s="1">
        <v>26</v>
      </c>
      <c r="B27" s="2" t="s">
        <v>24</v>
      </c>
      <c r="C27" s="10">
        <v>169.02770000000001</v>
      </c>
      <c r="D27" s="10">
        <v>922.62429999999995</v>
      </c>
      <c r="E27" s="10">
        <v>531.73919999999998</v>
      </c>
      <c r="F27" s="10">
        <v>269.65179999999998</v>
      </c>
      <c r="G27" s="10">
        <v>878.69839999999999</v>
      </c>
      <c r="H27" s="10"/>
      <c r="I27" s="10">
        <v>12.508385402</v>
      </c>
      <c r="J27" s="10">
        <v>68.276045666000002</v>
      </c>
      <c r="K27" s="10">
        <v>78.698993771000005</v>
      </c>
      <c r="L27" s="10">
        <v>39.909276761999998</v>
      </c>
      <c r="M27" s="10">
        <v>130.050006467</v>
      </c>
      <c r="N27" s="10"/>
      <c r="O27" s="7">
        <v>0.1421</v>
      </c>
      <c r="P27" s="7">
        <v>4.4584000000000001</v>
      </c>
      <c r="Q27" s="7">
        <v>-0.42370000000000002</v>
      </c>
      <c r="R27" s="7">
        <v>-0.4929</v>
      </c>
      <c r="S27" s="7">
        <v>2.2585999999999999</v>
      </c>
      <c r="T27" s="7"/>
      <c r="U27" s="7">
        <v>0.1421</v>
      </c>
      <c r="V27" s="7">
        <v>4.4584000000000001</v>
      </c>
      <c r="W27" s="7">
        <v>0.1527</v>
      </c>
      <c r="X27" s="7">
        <v>-0.4929</v>
      </c>
      <c r="Y27" s="7">
        <v>2.2585999999999999</v>
      </c>
      <c r="Z27" s="7"/>
      <c r="AA27" s="10">
        <v>1505.9326414</v>
      </c>
      <c r="AB27" s="10">
        <v>2590.0561400000001</v>
      </c>
      <c r="AC27" s="10">
        <v>1924.041704</v>
      </c>
      <c r="AD27" s="10">
        <v>2249.6487615999999</v>
      </c>
      <c r="AE27" s="10">
        <v>1924.041704</v>
      </c>
      <c r="AF27" s="10">
        <v>1672.4362504000001</v>
      </c>
      <c r="AG27" s="10">
        <v>2183.0473179999999</v>
      </c>
      <c r="AH27" s="10">
        <v>2553.0553380000001</v>
      </c>
      <c r="AI27" s="10">
        <v>2590.0561400000001</v>
      </c>
      <c r="AJ27" s="10">
        <v>2397.6519696</v>
      </c>
      <c r="AK27" s="10">
        <v>423.28917488000002</v>
      </c>
      <c r="AL27" s="10">
        <v>486.19053828</v>
      </c>
      <c r="AM27" s="14">
        <v>25</v>
      </c>
      <c r="AN27" s="14">
        <v>30</v>
      </c>
      <c r="AO27" s="14">
        <v>30</v>
      </c>
      <c r="AP27" s="14">
        <v>30</v>
      </c>
      <c r="AQ27" s="14">
        <v>30</v>
      </c>
      <c r="AR27" s="14">
        <v>30</v>
      </c>
      <c r="AS27" s="14">
        <v>35</v>
      </c>
      <c r="AT27" s="14">
        <v>30</v>
      </c>
      <c r="AU27" s="14">
        <v>25</v>
      </c>
      <c r="AV27" s="14">
        <v>20</v>
      </c>
      <c r="AW27" s="14">
        <v>25</v>
      </c>
      <c r="AX27" s="14">
        <v>25</v>
      </c>
    </row>
    <row r="28" spans="1:50" ht="20.100000000000001" customHeight="1">
      <c r="A28" s="1">
        <v>27</v>
      </c>
      <c r="B28" s="2" t="s">
        <v>25</v>
      </c>
      <c r="C28" s="10">
        <v>6395.9134999999997</v>
      </c>
      <c r="D28" s="10">
        <v>8916.2356</v>
      </c>
      <c r="E28" s="10">
        <v>6621.1390000000001</v>
      </c>
      <c r="F28" s="10">
        <v>7663.8936999999996</v>
      </c>
      <c r="G28" s="10">
        <v>7742.4075999999995</v>
      </c>
      <c r="H28" s="10">
        <v>9689.5941999999995</v>
      </c>
      <c r="I28" s="10">
        <v>27351.279999999999</v>
      </c>
      <c r="J28" s="10">
        <v>38824.561999999998</v>
      </c>
      <c r="K28" s="10">
        <v>28830.868999999999</v>
      </c>
      <c r="L28" s="10">
        <v>33371.406000000003</v>
      </c>
      <c r="M28" s="10">
        <v>31801.258000000002</v>
      </c>
      <c r="N28" s="10">
        <v>39799.155429787497</v>
      </c>
      <c r="O28" s="7">
        <v>0.25769999999999998</v>
      </c>
      <c r="P28" s="7">
        <v>0.39410000000000001</v>
      </c>
      <c r="Q28" s="7">
        <v>-0.25740000000000002</v>
      </c>
      <c r="R28" s="7">
        <v>0.1575</v>
      </c>
      <c r="S28" s="7">
        <v>1.0200000000000001E-2</v>
      </c>
      <c r="T28" s="7">
        <v>0.2515</v>
      </c>
      <c r="U28" s="7">
        <v>0.25769999999999998</v>
      </c>
      <c r="V28" s="7">
        <v>0.41949999999999998</v>
      </c>
      <c r="W28" s="7">
        <v>-0.25740000000000002</v>
      </c>
      <c r="X28" s="7">
        <v>0.1575</v>
      </c>
      <c r="Y28" s="7">
        <v>-4.7100000000000003E-2</v>
      </c>
      <c r="Z28" s="7">
        <v>0.2515</v>
      </c>
      <c r="AA28" s="10">
        <v>388162.64232400001</v>
      </c>
      <c r="AB28" s="10">
        <v>357058.13401600003</v>
      </c>
      <c r="AC28" s="10">
        <v>270406.2210048</v>
      </c>
      <c r="AD28" s="10">
        <v>209009.63942399999</v>
      </c>
      <c r="AE28" s="10">
        <v>239490.21184</v>
      </c>
      <c r="AF28" s="10">
        <v>188108.67548159999</v>
      </c>
      <c r="AG28" s="10">
        <v>163941.93592320001</v>
      </c>
      <c r="AH28" s="10">
        <v>164296.48016000001</v>
      </c>
      <c r="AI28" s="10">
        <v>315038.50070680003</v>
      </c>
      <c r="AJ28" s="10">
        <v>398008.22318759997</v>
      </c>
      <c r="AK28" s="10">
        <v>248358.30080900001</v>
      </c>
      <c r="AL28" s="10">
        <v>294411.49566100002</v>
      </c>
      <c r="AM28" s="14">
        <v>25</v>
      </c>
      <c r="AN28" s="14">
        <v>30</v>
      </c>
      <c r="AO28" s="14">
        <v>30</v>
      </c>
      <c r="AP28" s="14">
        <v>25</v>
      </c>
      <c r="AQ28" s="14">
        <v>25</v>
      </c>
      <c r="AR28" s="14">
        <v>25</v>
      </c>
      <c r="AS28" s="14">
        <v>30</v>
      </c>
      <c r="AT28" s="14">
        <v>25</v>
      </c>
      <c r="AU28" s="14">
        <v>30</v>
      </c>
      <c r="AV28" s="14">
        <v>30</v>
      </c>
      <c r="AW28" s="14">
        <v>25</v>
      </c>
      <c r="AX28" s="14">
        <v>25</v>
      </c>
    </row>
    <row r="29" spans="1:50" ht="20.100000000000001" customHeight="1">
      <c r="A29" s="1">
        <v>28</v>
      </c>
      <c r="B29" s="2" t="s">
        <v>26</v>
      </c>
      <c r="C29" s="10">
        <v>2060.1154999999999</v>
      </c>
      <c r="D29" s="10">
        <v>3718.9616999999998</v>
      </c>
      <c r="E29" s="10">
        <v>3331.7276000000002</v>
      </c>
      <c r="F29" s="10">
        <v>2173.3658</v>
      </c>
      <c r="G29" s="10">
        <v>3666.1797999999999</v>
      </c>
      <c r="H29" s="10">
        <v>2860.1401999999998</v>
      </c>
      <c r="I29" s="10">
        <v>231.80657018900001</v>
      </c>
      <c r="J29" s="10">
        <v>442.38143099600001</v>
      </c>
      <c r="K29" s="10">
        <v>374.88981612100002</v>
      </c>
      <c r="L29" s="10">
        <v>244.54961484500001</v>
      </c>
      <c r="M29" s="10">
        <v>412.52276530400002</v>
      </c>
      <c r="N29" s="10">
        <v>337.2466797079</v>
      </c>
      <c r="O29" s="7">
        <v>-0.48470000000000002</v>
      </c>
      <c r="P29" s="7">
        <v>0.80520000000000003</v>
      </c>
      <c r="Q29" s="7">
        <v>-0.1041</v>
      </c>
      <c r="R29" s="7">
        <v>-0.34770000000000001</v>
      </c>
      <c r="S29" s="7">
        <v>0.68689999999999996</v>
      </c>
      <c r="T29" s="7">
        <v>-0.21990000000000001</v>
      </c>
      <c r="U29" s="7">
        <v>-0.48470000000000002</v>
      </c>
      <c r="V29" s="7">
        <v>0.90839999999999999</v>
      </c>
      <c r="W29" s="7">
        <v>-0.15260000000000001</v>
      </c>
      <c r="X29" s="7">
        <v>-0.34770000000000001</v>
      </c>
      <c r="Y29" s="7">
        <v>0.68689999999999996</v>
      </c>
      <c r="Z29" s="7">
        <v>-0.1825</v>
      </c>
      <c r="AA29" s="10">
        <v>3050.5734000000002</v>
      </c>
      <c r="AB29" s="10">
        <v>3955.7435399999999</v>
      </c>
      <c r="AC29" s="10">
        <v>3833.2205100000001</v>
      </c>
      <c r="AD29" s="10">
        <v>2475.4652999999998</v>
      </c>
      <c r="AE29" s="10">
        <v>2693.0061900000001</v>
      </c>
      <c r="AF29" s="10">
        <v>2723.0118299999999</v>
      </c>
      <c r="AG29" s="10">
        <v>3600.6768000000002</v>
      </c>
      <c r="AH29" s="10">
        <v>3900.7332000000001</v>
      </c>
      <c r="AI29" s="10">
        <v>4191.4079949999996</v>
      </c>
      <c r="AJ29" s="10">
        <v>4557.10131</v>
      </c>
      <c r="AK29" s="10">
        <v>1647.8097299999999</v>
      </c>
      <c r="AL29" s="10">
        <v>1985.37318</v>
      </c>
      <c r="AM29" s="14">
        <v>40</v>
      </c>
      <c r="AN29" s="14">
        <v>40</v>
      </c>
      <c r="AO29" s="14">
        <v>35</v>
      </c>
      <c r="AP29" s="14">
        <v>35</v>
      </c>
      <c r="AQ29" s="14">
        <v>35</v>
      </c>
      <c r="AR29" s="14">
        <v>35</v>
      </c>
      <c r="AS29" s="14">
        <v>40</v>
      </c>
      <c r="AT29" s="14">
        <v>40</v>
      </c>
      <c r="AU29" s="14">
        <v>35</v>
      </c>
      <c r="AV29" s="14">
        <v>40</v>
      </c>
      <c r="AW29" s="14">
        <v>40</v>
      </c>
      <c r="AX29" s="14">
        <v>40</v>
      </c>
    </row>
    <row r="30" spans="1:50" ht="20.100000000000001" customHeight="1">
      <c r="A30" s="1">
        <v>29</v>
      </c>
      <c r="B30" s="2" t="s">
        <v>27</v>
      </c>
      <c r="C30" s="10">
        <v>1036.2329</v>
      </c>
      <c r="D30" s="10">
        <v>1198.8018</v>
      </c>
      <c r="E30" s="10">
        <v>1858.4369999999999</v>
      </c>
      <c r="F30" s="10">
        <v>1708.7638999999999</v>
      </c>
      <c r="G30" s="10">
        <v>1026.3232</v>
      </c>
      <c r="H30" s="10"/>
      <c r="I30" s="10">
        <v>300.92202966999997</v>
      </c>
      <c r="J30" s="10">
        <v>348.132041356</v>
      </c>
      <c r="K30" s="10">
        <v>539.69010034099995</v>
      </c>
      <c r="L30" s="10">
        <v>496.22503391700002</v>
      </c>
      <c r="M30" s="10">
        <v>328.47475022200001</v>
      </c>
      <c r="N30" s="10"/>
      <c r="O30" s="7">
        <v>-0.40570000000000001</v>
      </c>
      <c r="P30" s="7">
        <v>0.15690000000000001</v>
      </c>
      <c r="Q30" s="7">
        <v>0.55020000000000002</v>
      </c>
      <c r="R30" s="7">
        <v>-8.0500000000000002E-2</v>
      </c>
      <c r="S30" s="7">
        <v>-0.39939999999999998</v>
      </c>
      <c r="T30" s="7"/>
      <c r="U30" s="7">
        <v>-0.40570000000000001</v>
      </c>
      <c r="V30" s="7">
        <v>0.15690000000000001</v>
      </c>
      <c r="W30" s="7">
        <v>0.55020000000000002</v>
      </c>
      <c r="X30" s="7">
        <v>-8.0500000000000002E-2</v>
      </c>
      <c r="Y30" s="7">
        <v>-0.33810000000000001</v>
      </c>
      <c r="Z30" s="7"/>
      <c r="AA30" s="10">
        <v>7149.9964250000003</v>
      </c>
      <c r="AB30" s="10">
        <v>12077.987922</v>
      </c>
      <c r="AC30" s="10">
        <v>13859.986140000001</v>
      </c>
      <c r="AD30" s="10">
        <v>13019.579394599999</v>
      </c>
      <c r="AE30" s="10">
        <v>12511.3801989</v>
      </c>
      <c r="AF30" s="10">
        <v>13309.978934999999</v>
      </c>
      <c r="AG30" s="10">
        <v>14108.5776711</v>
      </c>
      <c r="AH30" s="10">
        <v>19138.964704599999</v>
      </c>
      <c r="AI30" s="10">
        <v>17058.642454100001</v>
      </c>
      <c r="AJ30" s="10">
        <v>17378.692031099999</v>
      </c>
      <c r="AK30" s="10">
        <v>6792</v>
      </c>
      <c r="AL30" s="10">
        <v>6669.9966649999997</v>
      </c>
      <c r="AM30" s="14">
        <v>40</v>
      </c>
      <c r="AN30" s="14">
        <v>45</v>
      </c>
      <c r="AO30" s="14">
        <v>45</v>
      </c>
      <c r="AP30" s="14">
        <v>45</v>
      </c>
      <c r="AQ30" s="14">
        <v>45</v>
      </c>
      <c r="AR30" s="14">
        <v>45</v>
      </c>
      <c r="AS30" s="14">
        <v>45</v>
      </c>
      <c r="AT30" s="14">
        <v>50</v>
      </c>
      <c r="AU30" s="14">
        <v>50</v>
      </c>
      <c r="AV30" s="14">
        <v>50</v>
      </c>
      <c r="AW30" s="14">
        <v>40</v>
      </c>
      <c r="AX30" s="14">
        <v>40</v>
      </c>
    </row>
    <row r="31" spans="1:50" ht="20.100000000000001" customHeight="1">
      <c r="A31" s="1">
        <v>30</v>
      </c>
      <c r="B31" s="2" t="s">
        <v>28</v>
      </c>
      <c r="C31" s="10">
        <v>0</v>
      </c>
      <c r="D31" s="10">
        <v>1111.1991</v>
      </c>
      <c r="E31" s="10">
        <v>1082.4465</v>
      </c>
      <c r="F31" s="10">
        <v>529.18320000000006</v>
      </c>
      <c r="G31" s="10">
        <v>770.90599999999995</v>
      </c>
      <c r="H31" s="10"/>
      <c r="I31" s="10">
        <v>13.141081528999999</v>
      </c>
      <c r="J31" s="10">
        <v>22.223981973000001</v>
      </c>
      <c r="K31" s="10">
        <v>24.89626943</v>
      </c>
      <c r="L31" s="10">
        <v>22.754879475999999</v>
      </c>
      <c r="M31" s="10">
        <v>58.712069825999997</v>
      </c>
      <c r="N31" s="10"/>
      <c r="O31" s="7">
        <v>0</v>
      </c>
      <c r="P31" s="7">
        <v>0</v>
      </c>
      <c r="Q31" s="7">
        <v>-2.5899999999999999E-2</v>
      </c>
      <c r="R31" s="7">
        <v>-0.5111</v>
      </c>
      <c r="S31" s="7">
        <v>0.45679999999999998</v>
      </c>
      <c r="T31" s="7"/>
      <c r="U31" s="7">
        <v>0</v>
      </c>
      <c r="V31" s="7">
        <v>0.69120000000000004</v>
      </c>
      <c r="W31" s="7">
        <v>0.1202</v>
      </c>
      <c r="X31" s="7">
        <v>-8.5999999999999993E-2</v>
      </c>
      <c r="Y31" s="7">
        <v>1.5802</v>
      </c>
      <c r="Z31" s="7"/>
      <c r="AA31" s="10"/>
      <c r="AB31" s="10">
        <v>240</v>
      </c>
      <c r="AC31" s="10">
        <v>200</v>
      </c>
      <c r="AD31" s="10">
        <v>190.9</v>
      </c>
      <c r="AE31" s="10">
        <v>352.6</v>
      </c>
      <c r="AF31" s="10">
        <v>344</v>
      </c>
      <c r="AG31" s="10">
        <v>490.2</v>
      </c>
      <c r="AH31" s="10">
        <v>1309.9491276000001</v>
      </c>
      <c r="AI31" s="10">
        <v>1287.1011777000001</v>
      </c>
      <c r="AJ31" s="10">
        <v>1386.1089606</v>
      </c>
      <c r="AK31" s="10"/>
      <c r="AL31" s="10"/>
      <c r="AM31" s="14">
        <v>100</v>
      </c>
      <c r="AN31" s="14">
        <v>100</v>
      </c>
      <c r="AO31" s="14">
        <v>100</v>
      </c>
      <c r="AP31" s="14">
        <v>60</v>
      </c>
      <c r="AQ31" s="14">
        <v>60</v>
      </c>
      <c r="AR31" s="14">
        <v>25</v>
      </c>
      <c r="AS31" s="14">
        <v>55</v>
      </c>
      <c r="AT31" s="14">
        <v>35</v>
      </c>
      <c r="AU31" s="14">
        <v>35</v>
      </c>
      <c r="AV31" s="14">
        <v>35</v>
      </c>
      <c r="AW31" s="14">
        <v>100</v>
      </c>
      <c r="AX31" s="14">
        <v>100</v>
      </c>
    </row>
    <row r="32" spans="1:50" ht="20.100000000000001" customHeight="1">
      <c r="A32" s="1">
        <v>31</v>
      </c>
      <c r="B32" s="2" t="s">
        <v>29</v>
      </c>
      <c r="C32" s="10">
        <v>1009.8822</v>
      </c>
      <c r="D32" s="10">
        <v>767.99839999999995</v>
      </c>
      <c r="E32" s="10">
        <v>880.00469999999996</v>
      </c>
      <c r="F32" s="10">
        <v>443.39060000000001</v>
      </c>
      <c r="G32" s="10">
        <v>474.23099999999999</v>
      </c>
      <c r="H32" s="10">
        <v>1110.8597</v>
      </c>
      <c r="I32" s="10">
        <v>2365.0148934409999</v>
      </c>
      <c r="J32" s="10">
        <v>1798.5540420560001</v>
      </c>
      <c r="K32" s="10">
        <v>2060.8582983319998</v>
      </c>
      <c r="L32" s="10">
        <v>1038.363942297</v>
      </c>
      <c r="M32" s="10">
        <v>1111.5882789699999</v>
      </c>
      <c r="N32" s="10">
        <v>2601.491324783</v>
      </c>
      <c r="O32" s="7">
        <v>-5.7599999999999998E-2</v>
      </c>
      <c r="P32" s="7">
        <v>-0.23949999999999999</v>
      </c>
      <c r="Q32" s="7">
        <v>0.14580000000000001</v>
      </c>
      <c r="R32" s="7">
        <v>-0.49609999999999999</v>
      </c>
      <c r="S32" s="7">
        <v>6.9599999999999995E-2</v>
      </c>
      <c r="T32" s="7">
        <v>1.3424</v>
      </c>
      <c r="U32" s="7">
        <v>-5.7599999999999998E-2</v>
      </c>
      <c r="V32" s="7">
        <v>-0.23949999999999999</v>
      </c>
      <c r="W32" s="7">
        <v>0.14580000000000001</v>
      </c>
      <c r="X32" s="7">
        <v>-0.49609999999999999</v>
      </c>
      <c r="Y32" s="7">
        <v>7.0499999999999993E-2</v>
      </c>
      <c r="Z32" s="7">
        <v>1.3403</v>
      </c>
      <c r="AA32" s="10">
        <v>28219.552780000002</v>
      </c>
      <c r="AB32" s="10">
        <v>40982.752999999997</v>
      </c>
      <c r="AC32" s="10">
        <v>31849.45376</v>
      </c>
      <c r="AD32" s="10">
        <v>24940.932540000002</v>
      </c>
      <c r="AE32" s="10">
        <v>31381.079440000001</v>
      </c>
      <c r="AF32" s="10">
        <v>26346.055499999999</v>
      </c>
      <c r="AG32" s="10">
        <v>34893.886839999999</v>
      </c>
      <c r="AH32" s="10">
        <v>28102.459200000001</v>
      </c>
      <c r="AI32" s="10">
        <v>30444.3308</v>
      </c>
      <c r="AJ32" s="10">
        <v>34893.886839999999</v>
      </c>
      <c r="AK32" s="10">
        <v>22716.15452</v>
      </c>
      <c r="AL32" s="10">
        <v>31849.45376</v>
      </c>
      <c r="AM32" s="14">
        <v>20</v>
      </c>
      <c r="AN32" s="14">
        <v>20</v>
      </c>
      <c r="AO32" s="14">
        <v>25</v>
      </c>
      <c r="AP32" s="14">
        <v>20</v>
      </c>
      <c r="AQ32" s="14">
        <v>25</v>
      </c>
      <c r="AR32" s="14">
        <v>20</v>
      </c>
      <c r="AS32" s="14">
        <v>25</v>
      </c>
      <c r="AT32" s="14">
        <v>25</v>
      </c>
      <c r="AU32" s="14">
        <v>25</v>
      </c>
      <c r="AV32" s="14">
        <v>25</v>
      </c>
      <c r="AW32" s="14">
        <v>20</v>
      </c>
      <c r="AX32" s="14">
        <v>20</v>
      </c>
    </row>
    <row r="33" spans="1:50" ht="20.100000000000001" customHeight="1">
      <c r="A33" s="1">
        <v>32</v>
      </c>
      <c r="B33" s="2" t="s">
        <v>30</v>
      </c>
      <c r="C33" s="10">
        <v>1167.6441</v>
      </c>
      <c r="D33" s="10">
        <v>1474.5530000000001</v>
      </c>
      <c r="E33" s="10">
        <v>1543.2080000000001</v>
      </c>
      <c r="F33" s="10">
        <v>478.9674</v>
      </c>
      <c r="G33" s="10">
        <v>444.14449999999999</v>
      </c>
      <c r="H33" s="10">
        <v>1537.4529</v>
      </c>
      <c r="I33" s="10">
        <v>475.46367744200001</v>
      </c>
      <c r="J33" s="10">
        <v>600.43671088600001</v>
      </c>
      <c r="K33" s="10">
        <v>628.390227095</v>
      </c>
      <c r="L33" s="10">
        <v>195.03428036099999</v>
      </c>
      <c r="M33" s="10">
        <v>180.853915747</v>
      </c>
      <c r="N33" s="10">
        <v>626.04160918770003</v>
      </c>
      <c r="O33" s="7">
        <v>-0.2535</v>
      </c>
      <c r="P33" s="7">
        <v>0.26279999999999998</v>
      </c>
      <c r="Q33" s="7">
        <v>4.6600000000000003E-2</v>
      </c>
      <c r="R33" s="7">
        <v>-0.68959999999999999</v>
      </c>
      <c r="S33" s="7">
        <v>-7.2700000000000001E-2</v>
      </c>
      <c r="T33" s="7">
        <v>2.4615999999999998</v>
      </c>
      <c r="U33" s="7">
        <v>-0.2535</v>
      </c>
      <c r="V33" s="7">
        <v>0.26279999999999998</v>
      </c>
      <c r="W33" s="7">
        <v>4.6600000000000003E-2</v>
      </c>
      <c r="X33" s="7">
        <v>-0.68959999999999999</v>
      </c>
      <c r="Y33" s="7">
        <v>-7.2700000000000001E-2</v>
      </c>
      <c r="Z33" s="7">
        <v>2.4615999999999998</v>
      </c>
      <c r="AA33" s="10">
        <v>3598.2631010999999</v>
      </c>
      <c r="AB33" s="10">
        <v>5915.1303496500004</v>
      </c>
      <c r="AC33" s="10">
        <v>5047.90128</v>
      </c>
      <c r="AD33" s="10">
        <v>2591.2559904</v>
      </c>
      <c r="AE33" s="10">
        <v>3567.1835712000002</v>
      </c>
      <c r="AF33" s="10">
        <v>3499.8782207999998</v>
      </c>
      <c r="AG33" s="10">
        <v>3684.9679344000001</v>
      </c>
      <c r="AH33" s="10">
        <v>3183.5329499999998</v>
      </c>
      <c r="AI33" s="10">
        <v>2765.2315275000001</v>
      </c>
      <c r="AJ33" s="10">
        <v>2887.0067574700001</v>
      </c>
      <c r="AK33" s="10">
        <v>1397.8863845999999</v>
      </c>
      <c r="AL33" s="10">
        <v>4374.8666481</v>
      </c>
      <c r="AM33" s="14">
        <v>55</v>
      </c>
      <c r="AN33" s="14">
        <v>55</v>
      </c>
      <c r="AO33" s="14">
        <v>55</v>
      </c>
      <c r="AP33" s="14">
        <v>50</v>
      </c>
      <c r="AQ33" s="14">
        <v>60</v>
      </c>
      <c r="AR33" s="14">
        <v>60</v>
      </c>
      <c r="AS33" s="14">
        <v>60</v>
      </c>
      <c r="AT33" s="14">
        <v>55</v>
      </c>
      <c r="AU33" s="14">
        <v>55</v>
      </c>
      <c r="AV33" s="14">
        <v>55</v>
      </c>
      <c r="AW33" s="14">
        <v>55</v>
      </c>
      <c r="AX33" s="14">
        <v>55</v>
      </c>
    </row>
    <row r="34" spans="1:50" ht="20.100000000000001" customHeight="1">
      <c r="A34" s="1">
        <v>33</v>
      </c>
      <c r="B34" s="2" t="s">
        <v>31</v>
      </c>
      <c r="C34" s="10">
        <v>0</v>
      </c>
      <c r="D34" s="10">
        <v>0</v>
      </c>
      <c r="E34" s="10">
        <v>260.68880000000001</v>
      </c>
      <c r="F34" s="10">
        <v>763.28089999999997</v>
      </c>
      <c r="G34" s="10">
        <v>550.82010000000002</v>
      </c>
      <c r="H34" s="10">
        <v>1095.1982</v>
      </c>
      <c r="I34" s="10">
        <v>9.5163418180000008</v>
      </c>
      <c r="J34" s="10">
        <v>75.224520177000002</v>
      </c>
      <c r="K34" s="10">
        <v>78.206635616</v>
      </c>
      <c r="L34" s="10">
        <v>228.98426160599999</v>
      </c>
      <c r="M34" s="10">
        <v>181.77062549199999</v>
      </c>
      <c r="N34" s="10">
        <v>375.21489354189998</v>
      </c>
      <c r="O34" s="7">
        <v>0</v>
      </c>
      <c r="P34" s="7">
        <v>0</v>
      </c>
      <c r="Q34" s="7">
        <v>0</v>
      </c>
      <c r="R34" s="7">
        <v>1.9278999999999999</v>
      </c>
      <c r="S34" s="7">
        <v>-0.27839999999999998</v>
      </c>
      <c r="T34" s="7">
        <v>0.98829999999999996</v>
      </c>
      <c r="U34" s="7">
        <v>0.61880000000000002</v>
      </c>
      <c r="V34" s="7">
        <v>6.9047999999999998</v>
      </c>
      <c r="W34" s="7">
        <v>3.9600000000000003E-2</v>
      </c>
      <c r="X34" s="7">
        <v>1.9278999999999999</v>
      </c>
      <c r="Y34" s="7">
        <v>-0.20619999999999999</v>
      </c>
      <c r="Z34" s="7">
        <v>1.0642</v>
      </c>
      <c r="AA34" s="10"/>
      <c r="AB34" s="10"/>
      <c r="AC34" s="10"/>
      <c r="AD34" s="10"/>
      <c r="AE34" s="10"/>
      <c r="AF34" s="10"/>
      <c r="AG34" s="10">
        <v>0</v>
      </c>
      <c r="AH34" s="10">
        <v>8745</v>
      </c>
      <c r="AI34" s="10">
        <v>8038.6350000000002</v>
      </c>
      <c r="AJ34" s="10">
        <v>8856.2099999999991</v>
      </c>
      <c r="AK34" s="10"/>
      <c r="AL34" s="10"/>
      <c r="AM34" s="14">
        <v>100</v>
      </c>
      <c r="AN34" s="14">
        <v>100</v>
      </c>
      <c r="AO34" s="14">
        <v>100</v>
      </c>
      <c r="AP34" s="14">
        <v>100</v>
      </c>
      <c r="AQ34" s="14">
        <v>100</v>
      </c>
      <c r="AR34" s="14">
        <v>100</v>
      </c>
      <c r="AS34" s="14">
        <v>100</v>
      </c>
      <c r="AT34" s="14">
        <v>40</v>
      </c>
      <c r="AU34" s="14">
        <v>35</v>
      </c>
      <c r="AV34" s="14">
        <v>30</v>
      </c>
      <c r="AW34" s="14">
        <v>100</v>
      </c>
      <c r="AX34" s="14">
        <v>100</v>
      </c>
    </row>
    <row r="35" spans="1:50" ht="20.100000000000001" customHeight="1">
      <c r="A35" s="1">
        <v>34</v>
      </c>
      <c r="B35" s="2" t="s">
        <v>32</v>
      </c>
      <c r="C35" s="10">
        <v>739.4982</v>
      </c>
      <c r="D35" s="10">
        <v>949.94100000000003</v>
      </c>
      <c r="E35" s="10">
        <v>672.9991</v>
      </c>
      <c r="F35" s="10">
        <v>611.96529999999996</v>
      </c>
      <c r="G35" s="10">
        <v>894.29349999999999</v>
      </c>
      <c r="H35" s="10"/>
      <c r="I35" s="10">
        <v>36.197446114999998</v>
      </c>
      <c r="J35" s="10">
        <v>88.917898953000005</v>
      </c>
      <c r="K35" s="10">
        <v>62.99514164</v>
      </c>
      <c r="L35" s="10">
        <v>85.655566032999999</v>
      </c>
      <c r="M35" s="10">
        <v>125.17246995799999</v>
      </c>
      <c r="N35" s="10"/>
      <c r="O35" s="7">
        <v>0</v>
      </c>
      <c r="P35" s="7">
        <v>0.28460000000000002</v>
      </c>
      <c r="Q35" s="7">
        <v>-0.29149999999999998</v>
      </c>
      <c r="R35" s="7">
        <v>-9.0700000000000003E-2</v>
      </c>
      <c r="S35" s="7">
        <v>0.46129999999999999</v>
      </c>
      <c r="T35" s="7"/>
      <c r="U35" s="7">
        <v>4.3863000000000003</v>
      </c>
      <c r="V35" s="7">
        <v>1.4564999999999999</v>
      </c>
      <c r="W35" s="7">
        <v>-0.29149999999999998</v>
      </c>
      <c r="X35" s="7">
        <v>0.35970000000000002</v>
      </c>
      <c r="Y35" s="7">
        <v>0.46129999999999999</v>
      </c>
      <c r="Z35" s="7"/>
      <c r="AA35" s="10">
        <v>395.322</v>
      </c>
      <c r="AB35" s="10">
        <v>1390.17075</v>
      </c>
      <c r="AC35" s="10">
        <v>1275.73425</v>
      </c>
      <c r="AD35" s="10">
        <v>1417.2149999999999</v>
      </c>
      <c r="AE35" s="10">
        <v>1706.6767500000001</v>
      </c>
      <c r="AF35" s="10">
        <v>2376</v>
      </c>
      <c r="AG35" s="10">
        <v>2016</v>
      </c>
      <c r="AH35" s="10">
        <v>1932</v>
      </c>
      <c r="AI35" s="10">
        <v>3214.0769992</v>
      </c>
      <c r="AJ35" s="10">
        <v>2253.4758161999998</v>
      </c>
      <c r="AK35" s="10"/>
      <c r="AL35" s="10">
        <v>328</v>
      </c>
      <c r="AM35" s="14">
        <v>100</v>
      </c>
      <c r="AN35" s="14">
        <v>40</v>
      </c>
      <c r="AO35" s="14">
        <v>45</v>
      </c>
      <c r="AP35" s="14">
        <v>45</v>
      </c>
      <c r="AQ35" s="14">
        <v>80</v>
      </c>
      <c r="AR35" s="14">
        <v>15</v>
      </c>
      <c r="AS35" s="14">
        <v>55</v>
      </c>
      <c r="AT35" s="14">
        <v>60</v>
      </c>
      <c r="AU35" s="14">
        <v>65</v>
      </c>
      <c r="AV35" s="14">
        <v>65</v>
      </c>
      <c r="AW35" s="14">
        <v>100</v>
      </c>
      <c r="AX35" s="14">
        <v>100</v>
      </c>
    </row>
    <row r="36" spans="1:50" ht="20.100000000000001" customHeight="1">
      <c r="A36" s="1">
        <v>35</v>
      </c>
      <c r="B36" s="2" t="s">
        <v>33</v>
      </c>
      <c r="C36" s="10">
        <v>617.97969999999998</v>
      </c>
      <c r="D36" s="10">
        <v>763.63959999999997</v>
      </c>
      <c r="E36" s="10">
        <v>875.27229999999997</v>
      </c>
      <c r="F36" s="10">
        <v>876.64350000000002</v>
      </c>
      <c r="G36" s="10">
        <v>1037.6221</v>
      </c>
      <c r="H36" s="10"/>
      <c r="I36" s="10">
        <v>587.79399999999998</v>
      </c>
      <c r="J36" s="10">
        <v>726.33900000000006</v>
      </c>
      <c r="K36" s="10">
        <v>832.51900000000001</v>
      </c>
      <c r="L36" s="10">
        <v>854.36699999999996</v>
      </c>
      <c r="M36" s="10">
        <v>1011.255</v>
      </c>
      <c r="N36" s="10"/>
      <c r="O36" s="7">
        <v>-0.2157</v>
      </c>
      <c r="P36" s="7">
        <v>0.23569999999999999</v>
      </c>
      <c r="Q36" s="7">
        <v>0.1462</v>
      </c>
      <c r="R36" s="7">
        <v>1.6000000000000001E-3</v>
      </c>
      <c r="S36" s="7">
        <v>0.18360000000000001</v>
      </c>
      <c r="T36" s="7"/>
      <c r="U36" s="7">
        <v>-0.2157</v>
      </c>
      <c r="V36" s="7">
        <v>0.23569999999999999</v>
      </c>
      <c r="W36" s="7">
        <v>0.1462</v>
      </c>
      <c r="X36" s="7">
        <v>2.6200000000000001E-2</v>
      </c>
      <c r="Y36" s="7">
        <v>0.18360000000000001</v>
      </c>
      <c r="Z36" s="7"/>
      <c r="AA36" s="10">
        <v>18633.55</v>
      </c>
      <c r="AB36" s="10">
        <v>17020.862300000001</v>
      </c>
      <c r="AC36" s="10">
        <v>13255.184800000001</v>
      </c>
      <c r="AD36" s="10">
        <v>10736.699688000001</v>
      </c>
      <c r="AE36" s="10">
        <v>11667.973016</v>
      </c>
      <c r="AF36" s="10">
        <v>10584.518378799999</v>
      </c>
      <c r="AG36" s="10">
        <v>10930.3904324</v>
      </c>
      <c r="AH36" s="10">
        <v>10751.203704</v>
      </c>
      <c r="AI36" s="10">
        <v>11687.866484599999</v>
      </c>
      <c r="AJ36" s="10">
        <v>12540.238149999999</v>
      </c>
      <c r="AK36" s="10">
        <v>11895</v>
      </c>
      <c r="AL36" s="10">
        <v>13632.2485</v>
      </c>
      <c r="AM36" s="14">
        <v>100</v>
      </c>
      <c r="AN36" s="14">
        <v>90</v>
      </c>
      <c r="AO36" s="14">
        <v>95</v>
      </c>
      <c r="AP36" s="14">
        <v>90</v>
      </c>
      <c r="AQ36" s="14">
        <v>90</v>
      </c>
      <c r="AR36" s="14">
        <v>90</v>
      </c>
      <c r="AS36" s="14">
        <v>90</v>
      </c>
      <c r="AT36" s="14">
        <v>90</v>
      </c>
      <c r="AU36" s="14">
        <v>75</v>
      </c>
      <c r="AV36" s="14">
        <v>75</v>
      </c>
      <c r="AW36" s="14">
        <v>100</v>
      </c>
      <c r="AX36" s="14">
        <v>100</v>
      </c>
    </row>
    <row r="37" spans="1:50" ht="20.100000000000001" customHeight="1">
      <c r="A37" s="1">
        <v>36</v>
      </c>
      <c r="B37" s="2" t="s">
        <v>34</v>
      </c>
      <c r="C37" s="10">
        <v>735.16809999999998</v>
      </c>
      <c r="D37" s="10">
        <v>1391.0251000000001</v>
      </c>
      <c r="E37" s="10">
        <v>1033.7991</v>
      </c>
      <c r="F37" s="10">
        <v>817.78480000000002</v>
      </c>
      <c r="G37" s="10">
        <v>1152.5601999999999</v>
      </c>
      <c r="H37" s="10">
        <v>1052.1875</v>
      </c>
      <c r="I37" s="10">
        <v>530.45169416500005</v>
      </c>
      <c r="J37" s="10">
        <v>1147.0623810869999</v>
      </c>
      <c r="K37" s="10">
        <v>852.48787593400004</v>
      </c>
      <c r="L37" s="10">
        <v>674.35886590699999</v>
      </c>
      <c r="M37" s="10">
        <v>1039.655044354</v>
      </c>
      <c r="N37" s="10">
        <v>1136.3172582755999</v>
      </c>
      <c r="O37" s="7">
        <v>0.22819999999999999</v>
      </c>
      <c r="P37" s="7">
        <v>0.8921</v>
      </c>
      <c r="Q37" s="7">
        <v>-0.25679999999999997</v>
      </c>
      <c r="R37" s="7">
        <v>-0.20899999999999999</v>
      </c>
      <c r="S37" s="7">
        <v>0.40939999999999999</v>
      </c>
      <c r="T37" s="7">
        <v>-8.7099999999999997E-2</v>
      </c>
      <c r="U37" s="7">
        <v>0.2263</v>
      </c>
      <c r="V37" s="7">
        <v>1.1624000000000001</v>
      </c>
      <c r="W37" s="7">
        <v>-0.25679999999999997</v>
      </c>
      <c r="X37" s="7">
        <v>-0.20899999999999999</v>
      </c>
      <c r="Y37" s="7">
        <v>0.54169999999999996</v>
      </c>
      <c r="Z37" s="7">
        <v>9.2999999999999999E-2</v>
      </c>
      <c r="AA37" s="10">
        <v>15587.638279500001</v>
      </c>
      <c r="AB37" s="10">
        <v>20803.143679500001</v>
      </c>
      <c r="AC37" s="10">
        <v>9235.6813698000005</v>
      </c>
      <c r="AD37" s="10">
        <v>9144.2389800000001</v>
      </c>
      <c r="AE37" s="10">
        <v>12870.51636435</v>
      </c>
      <c r="AF37" s="10">
        <v>15636.6486558</v>
      </c>
      <c r="AG37" s="10">
        <v>18444.043186800001</v>
      </c>
      <c r="AH37" s="10">
        <v>21167.150751599998</v>
      </c>
      <c r="AI37" s="10">
        <v>23111.072759400002</v>
      </c>
      <c r="AJ37" s="10">
        <v>24461.01859815</v>
      </c>
      <c r="AK37" s="10">
        <v>5598.5448685499996</v>
      </c>
      <c r="AL37" s="10">
        <v>9578.3139329999995</v>
      </c>
      <c r="AM37" s="14">
        <v>45</v>
      </c>
      <c r="AN37" s="14">
        <v>45</v>
      </c>
      <c r="AO37" s="14">
        <v>50</v>
      </c>
      <c r="AP37" s="14">
        <v>50</v>
      </c>
      <c r="AQ37" s="14">
        <v>50</v>
      </c>
      <c r="AR37" s="14">
        <v>50</v>
      </c>
      <c r="AS37" s="14">
        <v>50</v>
      </c>
      <c r="AT37" s="14">
        <v>50</v>
      </c>
      <c r="AU37" s="14">
        <v>50</v>
      </c>
      <c r="AV37" s="14">
        <v>50</v>
      </c>
      <c r="AW37" s="14">
        <v>40</v>
      </c>
      <c r="AX37" s="14">
        <v>40</v>
      </c>
    </row>
    <row r="38" spans="1:50" ht="20.100000000000001" customHeight="1">
      <c r="A38" s="1">
        <v>37</v>
      </c>
      <c r="B38" s="2" t="s">
        <v>35</v>
      </c>
      <c r="C38" s="10">
        <v>5752.6979000000001</v>
      </c>
      <c r="D38" s="10">
        <v>2374.4758000000002</v>
      </c>
      <c r="E38" s="10">
        <v>7992.4413999999997</v>
      </c>
      <c r="F38" s="10">
        <v>12716.764999999999</v>
      </c>
      <c r="G38" s="10">
        <v>12102.985000000001</v>
      </c>
      <c r="H38" s="10">
        <v>14612.5334</v>
      </c>
      <c r="I38" s="10">
        <v>522.58557193000001</v>
      </c>
      <c r="J38" s="10">
        <v>214.376817966</v>
      </c>
      <c r="K38" s="10">
        <v>694.26876631599998</v>
      </c>
      <c r="L38" s="10">
        <v>1041.006333282</v>
      </c>
      <c r="M38" s="10">
        <v>990.76172913799996</v>
      </c>
      <c r="N38" s="10">
        <v>1196.1966002955</v>
      </c>
      <c r="O38" s="7">
        <v>0.23780000000000001</v>
      </c>
      <c r="P38" s="7">
        <v>-0.58720000000000006</v>
      </c>
      <c r="Q38" s="7">
        <v>2.3660000000000001</v>
      </c>
      <c r="R38" s="7">
        <v>0.59109999999999996</v>
      </c>
      <c r="S38" s="7">
        <v>-4.8300000000000003E-2</v>
      </c>
      <c r="T38" s="7">
        <v>0.20730000000000001</v>
      </c>
      <c r="U38" s="7">
        <v>0.2361</v>
      </c>
      <c r="V38" s="7">
        <v>-0.58979999999999999</v>
      </c>
      <c r="W38" s="7">
        <v>2.2385000000000002</v>
      </c>
      <c r="X38" s="7">
        <v>0.49940000000000001</v>
      </c>
      <c r="Y38" s="7">
        <v>-4.8300000000000003E-2</v>
      </c>
      <c r="Z38" s="7">
        <v>0.2074</v>
      </c>
      <c r="AA38" s="10">
        <v>4854.3536234000003</v>
      </c>
      <c r="AB38" s="10">
        <v>4903.4701862000002</v>
      </c>
      <c r="AC38" s="10">
        <v>4723.3761225999997</v>
      </c>
      <c r="AD38" s="10">
        <v>4911.6562800000002</v>
      </c>
      <c r="AE38" s="10">
        <v>7563.9506712000002</v>
      </c>
      <c r="AF38" s="10">
        <v>8538.0958334000006</v>
      </c>
      <c r="AG38" s="10">
        <v>8186.0937999999996</v>
      </c>
      <c r="AH38" s="10">
        <v>10731.968971800001</v>
      </c>
      <c r="AI38" s="10">
        <v>11485.089601400001</v>
      </c>
      <c r="AJ38" s="10">
        <v>13351.5189878</v>
      </c>
      <c r="AK38" s="10">
        <v>4248.5826821999999</v>
      </c>
      <c r="AL38" s="10">
        <v>5124.4947187999996</v>
      </c>
      <c r="AM38" s="14">
        <v>45</v>
      </c>
      <c r="AN38" s="14">
        <v>50</v>
      </c>
      <c r="AO38" s="14">
        <v>45</v>
      </c>
      <c r="AP38" s="14">
        <v>45</v>
      </c>
      <c r="AQ38" s="14">
        <v>45</v>
      </c>
      <c r="AR38" s="14">
        <v>45</v>
      </c>
      <c r="AS38" s="14">
        <v>45</v>
      </c>
      <c r="AT38" s="14">
        <v>45</v>
      </c>
      <c r="AU38" s="14">
        <v>45</v>
      </c>
      <c r="AV38" s="14">
        <v>45</v>
      </c>
      <c r="AW38" s="14">
        <v>45</v>
      </c>
      <c r="AX38" s="14">
        <v>45</v>
      </c>
    </row>
    <row r="39" spans="1:50" ht="20.100000000000001" customHeight="1">
      <c r="A39" s="1">
        <v>38</v>
      </c>
      <c r="B39" s="2" t="s">
        <v>36</v>
      </c>
      <c r="C39" s="10">
        <v>1763.0556999999999</v>
      </c>
      <c r="D39" s="10">
        <v>1869.4649999999999</v>
      </c>
      <c r="E39" s="10">
        <v>1538.2068999999999</v>
      </c>
      <c r="F39" s="10">
        <v>1188.4698000000001</v>
      </c>
      <c r="G39" s="10">
        <v>794.69539999999995</v>
      </c>
      <c r="H39" s="10">
        <v>635.34320000000002</v>
      </c>
      <c r="I39" s="10">
        <v>369.90344990199998</v>
      </c>
      <c r="J39" s="10">
        <v>621.10524097400003</v>
      </c>
      <c r="K39" s="10">
        <v>511.04906402699999</v>
      </c>
      <c r="L39" s="10">
        <v>394.852892967</v>
      </c>
      <c r="M39" s="10">
        <v>354.13789348500001</v>
      </c>
      <c r="N39" s="10">
        <v>400</v>
      </c>
      <c r="O39" s="7">
        <v>0.30049999999999999</v>
      </c>
      <c r="P39" s="7">
        <v>6.0400000000000002E-2</v>
      </c>
      <c r="Q39" s="7">
        <v>-0.1772</v>
      </c>
      <c r="R39" s="7">
        <v>-0.22739999999999999</v>
      </c>
      <c r="S39" s="7">
        <v>-0.33129999999999998</v>
      </c>
      <c r="T39" s="7">
        <v>-0.20050000000000001</v>
      </c>
      <c r="U39" s="7">
        <v>0.30049999999999999</v>
      </c>
      <c r="V39" s="7">
        <v>0.67910000000000004</v>
      </c>
      <c r="W39" s="7">
        <v>-0.1772</v>
      </c>
      <c r="X39" s="7">
        <v>-0.22739999999999999</v>
      </c>
      <c r="Y39" s="7">
        <v>-0.1031</v>
      </c>
      <c r="Z39" s="7">
        <v>0.1295</v>
      </c>
      <c r="AA39" s="10">
        <v>7207.6311236000001</v>
      </c>
      <c r="AB39" s="10">
        <v>6795.1462099</v>
      </c>
      <c r="AC39" s="10">
        <v>3951.1712785999998</v>
      </c>
      <c r="AD39" s="10">
        <v>2626.8776082999998</v>
      </c>
      <c r="AE39" s="10">
        <v>3513.0635005499998</v>
      </c>
      <c r="AF39" s="10">
        <v>3513.0635005499998</v>
      </c>
      <c r="AG39" s="10">
        <v>5496.2389872000003</v>
      </c>
      <c r="AH39" s="10">
        <v>5231.8151183999998</v>
      </c>
      <c r="AI39" s="10">
        <v>4721.8548000000001</v>
      </c>
      <c r="AJ39" s="10">
        <v>7743.841872</v>
      </c>
      <c r="AK39" s="10">
        <v>1494.3608207</v>
      </c>
      <c r="AL39" s="10">
        <v>3358.8844134999999</v>
      </c>
      <c r="AM39" s="14">
        <v>50</v>
      </c>
      <c r="AN39" s="14">
        <v>50</v>
      </c>
      <c r="AO39" s="14">
        <v>50</v>
      </c>
      <c r="AP39" s="14">
        <v>50</v>
      </c>
      <c r="AQ39" s="14">
        <v>50</v>
      </c>
      <c r="AR39" s="14">
        <v>50</v>
      </c>
      <c r="AS39" s="14">
        <v>50</v>
      </c>
      <c r="AT39" s="14">
        <v>50</v>
      </c>
      <c r="AU39" s="14">
        <v>55</v>
      </c>
      <c r="AV39" s="14">
        <v>55</v>
      </c>
      <c r="AW39" s="14">
        <v>20</v>
      </c>
      <c r="AX39" s="14">
        <v>20</v>
      </c>
    </row>
    <row r="40" spans="1:50" ht="20.100000000000001" customHeight="1">
      <c r="A40" s="1">
        <v>39</v>
      </c>
      <c r="B40" s="2" t="s">
        <v>37</v>
      </c>
      <c r="C40" s="10">
        <v>1552.9926</v>
      </c>
      <c r="D40" s="10">
        <v>1049.0631000000001</v>
      </c>
      <c r="E40" s="10">
        <v>913.58330000000001</v>
      </c>
      <c r="F40" s="10">
        <v>902.02949999999998</v>
      </c>
      <c r="G40" s="10">
        <v>1662.9183</v>
      </c>
      <c r="H40" s="10"/>
      <c r="I40" s="10">
        <v>48.153175726000001</v>
      </c>
      <c r="J40" s="10">
        <v>25.686310421999998</v>
      </c>
      <c r="K40" s="10">
        <v>33.553632321000002</v>
      </c>
      <c r="L40" s="10">
        <v>33.129287759999997</v>
      </c>
      <c r="M40" s="10">
        <v>61.074830591000001</v>
      </c>
      <c r="N40" s="10"/>
      <c r="O40" s="7">
        <v>-0.34</v>
      </c>
      <c r="P40" s="7">
        <v>-0.32450000000000001</v>
      </c>
      <c r="Q40" s="7">
        <v>-0.12909999999999999</v>
      </c>
      <c r="R40" s="7">
        <v>-1.26E-2</v>
      </c>
      <c r="S40" s="7">
        <v>0.84350000000000003</v>
      </c>
      <c r="T40" s="7"/>
      <c r="U40" s="7">
        <v>-0.34</v>
      </c>
      <c r="V40" s="7">
        <v>-0.46660000000000001</v>
      </c>
      <c r="W40" s="7">
        <v>0.30630000000000002</v>
      </c>
      <c r="X40" s="7">
        <v>-1.26E-2</v>
      </c>
      <c r="Y40" s="7">
        <v>0.84350000000000003</v>
      </c>
      <c r="Z40" s="7"/>
      <c r="AA40" s="10">
        <v>307.62954000000002</v>
      </c>
      <c r="AB40" s="10">
        <v>867.46682250000003</v>
      </c>
      <c r="AC40" s="10">
        <v>468.20217000000002</v>
      </c>
      <c r="AD40" s="10">
        <v>279.53300250000001</v>
      </c>
      <c r="AE40" s="10">
        <v>312.58775250000002</v>
      </c>
      <c r="AF40" s="10">
        <v>293.82</v>
      </c>
      <c r="AG40" s="10">
        <v>728.23287000000005</v>
      </c>
      <c r="AH40" s="10">
        <v>855.75075000000004</v>
      </c>
      <c r="AI40" s="10">
        <v>668.36704499999996</v>
      </c>
      <c r="AJ40" s="10">
        <v>659.66262749999999</v>
      </c>
      <c r="AK40" s="10">
        <v>188.06928500000001</v>
      </c>
      <c r="AL40" s="10">
        <v>260.71627999999998</v>
      </c>
      <c r="AM40" s="14">
        <v>100</v>
      </c>
      <c r="AN40" s="14">
        <v>45</v>
      </c>
      <c r="AO40" s="14">
        <v>45</v>
      </c>
      <c r="AP40" s="14">
        <v>40</v>
      </c>
      <c r="AQ40" s="14">
        <v>50</v>
      </c>
      <c r="AR40" s="14">
        <v>50</v>
      </c>
      <c r="AS40" s="14">
        <v>50</v>
      </c>
      <c r="AT40" s="14">
        <v>50</v>
      </c>
      <c r="AU40" s="14">
        <v>50</v>
      </c>
      <c r="AV40" s="14">
        <v>50</v>
      </c>
      <c r="AW40" s="14">
        <v>100</v>
      </c>
      <c r="AX40" s="14">
        <v>100</v>
      </c>
    </row>
    <row r="41" spans="1:50" ht="20.100000000000001" customHeight="1">
      <c r="A41" s="1">
        <v>40</v>
      </c>
      <c r="B41" s="2" t="s">
        <v>38</v>
      </c>
      <c r="C41" s="10">
        <v>3002.2741000000001</v>
      </c>
      <c r="D41" s="10">
        <v>3431.9515000000001</v>
      </c>
      <c r="E41" s="10">
        <v>4981.3184000000001</v>
      </c>
      <c r="F41" s="10">
        <v>4048.5835999999999</v>
      </c>
      <c r="G41" s="10">
        <v>3679.7130000000002</v>
      </c>
      <c r="H41" s="10">
        <v>4445.5841</v>
      </c>
      <c r="I41" s="10">
        <v>1628.0762085839999</v>
      </c>
      <c r="J41" s="10">
        <v>1855.0796281309999</v>
      </c>
      <c r="K41" s="10">
        <v>2692.5165904179999</v>
      </c>
      <c r="L41" s="10">
        <v>2188.3166584679998</v>
      </c>
      <c r="M41" s="10">
        <v>1993.3858526490001</v>
      </c>
      <c r="N41" s="10">
        <v>2405.3431047705999</v>
      </c>
      <c r="O41" s="7">
        <v>-6.6E-3</v>
      </c>
      <c r="P41" s="7">
        <v>0.1431</v>
      </c>
      <c r="Q41" s="7">
        <v>0.45150000000000001</v>
      </c>
      <c r="R41" s="7">
        <v>-0.18720000000000001</v>
      </c>
      <c r="S41" s="7">
        <v>-9.11E-2</v>
      </c>
      <c r="T41" s="7">
        <v>0.20810000000000001</v>
      </c>
      <c r="U41" s="7">
        <v>-6.6E-3</v>
      </c>
      <c r="V41" s="7">
        <v>0.1394</v>
      </c>
      <c r="W41" s="7">
        <v>0.45140000000000002</v>
      </c>
      <c r="X41" s="7">
        <v>-0.18729999999999999</v>
      </c>
      <c r="Y41" s="7">
        <v>-8.9099999999999999E-2</v>
      </c>
      <c r="Z41" s="7">
        <v>0.20669999999999999</v>
      </c>
      <c r="AA41" s="10">
        <v>17832.238430199999</v>
      </c>
      <c r="AB41" s="10">
        <v>21355.418986600002</v>
      </c>
      <c r="AC41" s="10">
        <v>30635.701447799998</v>
      </c>
      <c r="AD41" s="10">
        <v>25411.283683500002</v>
      </c>
      <c r="AE41" s="10">
        <v>26647.653694000001</v>
      </c>
      <c r="AF41" s="10">
        <v>23214.520396</v>
      </c>
      <c r="AG41" s="10">
        <v>29422.343360999999</v>
      </c>
      <c r="AH41" s="10">
        <v>31981.809860000001</v>
      </c>
      <c r="AI41" s="10">
        <v>36886.919265899996</v>
      </c>
      <c r="AJ41" s="10">
        <v>36832.753451999997</v>
      </c>
      <c r="AK41" s="10">
        <v>9503.0608819000008</v>
      </c>
      <c r="AL41" s="10">
        <v>15128.042827699999</v>
      </c>
      <c r="AM41" s="14">
        <v>45</v>
      </c>
      <c r="AN41" s="14">
        <v>45</v>
      </c>
      <c r="AO41" s="14">
        <v>45</v>
      </c>
      <c r="AP41" s="14">
        <v>45</v>
      </c>
      <c r="AQ41" s="14">
        <v>45</v>
      </c>
      <c r="AR41" s="14">
        <v>40</v>
      </c>
      <c r="AS41" s="14">
        <v>40</v>
      </c>
      <c r="AT41" s="14">
        <v>35</v>
      </c>
      <c r="AU41" s="14">
        <v>35</v>
      </c>
      <c r="AV41" s="14">
        <v>35</v>
      </c>
      <c r="AW41" s="14">
        <v>50</v>
      </c>
      <c r="AX41" s="14">
        <v>45</v>
      </c>
    </row>
    <row r="42" spans="1:50" ht="20.100000000000001" customHeight="1">
      <c r="A42" s="1">
        <v>41</v>
      </c>
      <c r="B42" s="2" t="s">
        <v>39</v>
      </c>
      <c r="C42" s="10"/>
      <c r="D42" s="10"/>
      <c r="E42" s="10"/>
      <c r="F42" s="10"/>
      <c r="G42" s="10">
        <v>2238.4386</v>
      </c>
      <c r="H42" s="10">
        <v>1394.249</v>
      </c>
      <c r="I42" s="10"/>
      <c r="J42" s="10"/>
      <c r="K42" s="10"/>
      <c r="L42" s="10"/>
      <c r="M42" s="10">
        <v>664.816258791</v>
      </c>
      <c r="N42" s="10">
        <v>501.92964751839997</v>
      </c>
      <c r="O42" s="7"/>
      <c r="P42" s="7"/>
      <c r="Q42" s="7"/>
      <c r="R42" s="7"/>
      <c r="S42" s="7">
        <v>0</v>
      </c>
      <c r="T42" s="7">
        <v>-0.37709999999999999</v>
      </c>
      <c r="U42" s="7"/>
      <c r="V42" s="7"/>
      <c r="W42" s="7"/>
      <c r="X42" s="7"/>
      <c r="Y42" s="7">
        <v>0</v>
      </c>
      <c r="Z42" s="7">
        <v>-0.245</v>
      </c>
      <c r="AA42" s="10"/>
      <c r="AB42" s="10"/>
      <c r="AC42" s="10"/>
      <c r="AD42" s="10"/>
      <c r="AE42" s="10"/>
      <c r="AF42" s="10"/>
      <c r="AG42" s="10">
        <v>5464.8</v>
      </c>
      <c r="AH42" s="10">
        <v>6319.9521000000004</v>
      </c>
      <c r="AI42" s="10">
        <v>8636.9976000000006</v>
      </c>
      <c r="AJ42" s="10">
        <v>15948</v>
      </c>
      <c r="AK42" s="10"/>
      <c r="AL42" s="10"/>
      <c r="AM42" s="14">
        <v>100</v>
      </c>
      <c r="AN42" s="14">
        <v>100</v>
      </c>
      <c r="AO42" s="14">
        <v>100</v>
      </c>
      <c r="AP42" s="14">
        <v>100</v>
      </c>
      <c r="AQ42" s="14">
        <v>100</v>
      </c>
      <c r="AR42" s="14">
        <v>100</v>
      </c>
      <c r="AS42" s="14">
        <v>30</v>
      </c>
      <c r="AT42" s="14">
        <v>30</v>
      </c>
      <c r="AU42" s="14">
        <v>35</v>
      </c>
      <c r="AV42" s="14">
        <v>35</v>
      </c>
      <c r="AW42" s="14">
        <v>100</v>
      </c>
      <c r="AX42" s="14">
        <v>100</v>
      </c>
    </row>
    <row r="43" spans="1:50" ht="20.100000000000001" customHeight="1">
      <c r="A43" s="1">
        <v>42</v>
      </c>
      <c r="B43" s="2" t="s">
        <v>40</v>
      </c>
      <c r="C43" s="10">
        <v>795.1454</v>
      </c>
      <c r="D43" s="10">
        <v>506.3374</v>
      </c>
      <c r="E43" s="10">
        <v>2649.8721999999998</v>
      </c>
      <c r="F43" s="10">
        <v>147.19550000000001</v>
      </c>
      <c r="G43" s="10">
        <v>179.64750000000001</v>
      </c>
      <c r="H43" s="10">
        <v>3753.9059999999999</v>
      </c>
      <c r="I43" s="10">
        <v>202.170290929</v>
      </c>
      <c r="J43" s="10">
        <v>128.73919773200001</v>
      </c>
      <c r="K43" s="10">
        <v>673.74523434699995</v>
      </c>
      <c r="L43" s="10">
        <v>39.191645110000003</v>
      </c>
      <c r="M43" s="10">
        <v>47.832173646999998</v>
      </c>
      <c r="N43" s="10">
        <v>999.5</v>
      </c>
      <c r="O43" s="7">
        <v>-0.71279999999999999</v>
      </c>
      <c r="P43" s="7">
        <v>-0.36320000000000002</v>
      </c>
      <c r="Q43" s="7">
        <v>4.2333999999999996</v>
      </c>
      <c r="R43" s="7">
        <v>-0.94450000000000001</v>
      </c>
      <c r="S43" s="7">
        <v>0.2205</v>
      </c>
      <c r="T43" s="7">
        <v>19.896000000000001</v>
      </c>
      <c r="U43" s="7">
        <v>-0.71279999999999999</v>
      </c>
      <c r="V43" s="7">
        <v>-0.36320000000000002</v>
      </c>
      <c r="W43" s="7">
        <v>4.2333999999999996</v>
      </c>
      <c r="X43" s="7">
        <v>-0.94179999999999997</v>
      </c>
      <c r="Y43" s="7">
        <v>0.2205</v>
      </c>
      <c r="Z43" s="7">
        <v>19.896000000000001</v>
      </c>
      <c r="AA43" s="10">
        <v>4347.7733250000001</v>
      </c>
      <c r="AB43" s="10">
        <v>4233.3582374999996</v>
      </c>
      <c r="AC43" s="10">
        <v>6737.7773749999997</v>
      </c>
      <c r="AD43" s="10">
        <v>2866.73358125</v>
      </c>
      <c r="AE43" s="10">
        <v>4772.6343187499997</v>
      </c>
      <c r="AF43" s="10">
        <v>4140.2769125000004</v>
      </c>
      <c r="AG43" s="10">
        <v>4293.3739687500001</v>
      </c>
      <c r="AH43" s="10">
        <v>5271.8638499999997</v>
      </c>
      <c r="AI43" s="10">
        <v>5631.3091125000001</v>
      </c>
      <c r="AJ43" s="10">
        <v>8147.4259499999998</v>
      </c>
      <c r="AK43" s="10">
        <v>2123.0355125000001</v>
      </c>
      <c r="AL43" s="10">
        <v>3165.4840875</v>
      </c>
      <c r="AM43" s="14">
        <v>20</v>
      </c>
      <c r="AN43" s="14">
        <v>20</v>
      </c>
      <c r="AO43" s="14">
        <v>20</v>
      </c>
      <c r="AP43" s="14">
        <v>30</v>
      </c>
      <c r="AQ43" s="14">
        <v>30</v>
      </c>
      <c r="AR43" s="14">
        <v>30</v>
      </c>
      <c r="AS43" s="14">
        <v>35</v>
      </c>
      <c r="AT43" s="14">
        <v>35</v>
      </c>
      <c r="AU43" s="14">
        <v>40</v>
      </c>
      <c r="AV43" s="14">
        <v>35</v>
      </c>
      <c r="AW43" s="14">
        <v>20</v>
      </c>
      <c r="AX43" s="14">
        <v>20</v>
      </c>
    </row>
    <row r="44" spans="1:50" ht="20.100000000000001" customHeight="1">
      <c r="A44" s="1">
        <v>43</v>
      </c>
      <c r="B44" s="2" t="s">
        <v>41</v>
      </c>
      <c r="C44" s="10">
        <v>1617.3806999999999</v>
      </c>
      <c r="D44" s="10">
        <v>1893.7662</v>
      </c>
      <c r="E44" s="10">
        <v>3207.5886999999998</v>
      </c>
      <c r="F44" s="10">
        <v>1892.6563000000001</v>
      </c>
      <c r="G44" s="10">
        <v>1898.6778999999999</v>
      </c>
      <c r="H44" s="10">
        <v>2338.7564000000002</v>
      </c>
      <c r="I44" s="10">
        <v>178.72056536599999</v>
      </c>
      <c r="J44" s="10">
        <v>209.26116313399999</v>
      </c>
      <c r="K44" s="10">
        <v>354.438553738</v>
      </c>
      <c r="L44" s="10">
        <v>209.13851994300001</v>
      </c>
      <c r="M44" s="10">
        <v>238.636262415</v>
      </c>
      <c r="N44" s="10">
        <v>293.51928929320002</v>
      </c>
      <c r="O44" s="7">
        <v>-0.27239999999999998</v>
      </c>
      <c r="P44" s="7">
        <v>0.1709</v>
      </c>
      <c r="Q44" s="7">
        <v>0.69379999999999997</v>
      </c>
      <c r="R44" s="7">
        <v>-0.40989999999999999</v>
      </c>
      <c r="S44" s="7">
        <v>3.2000000000000002E-3</v>
      </c>
      <c r="T44" s="7">
        <v>0.23180000000000001</v>
      </c>
      <c r="U44" s="7">
        <v>-0.27239999999999998</v>
      </c>
      <c r="V44" s="7">
        <v>0.1709</v>
      </c>
      <c r="W44" s="7">
        <v>0.69379999999999997</v>
      </c>
      <c r="X44" s="7">
        <v>-0.40989999999999999</v>
      </c>
      <c r="Y44" s="7">
        <v>0.14099999999999999</v>
      </c>
      <c r="Z44" s="7">
        <v>0.23</v>
      </c>
      <c r="AA44" s="10">
        <v>1286.22</v>
      </c>
      <c r="AB44" s="10">
        <v>1880.71</v>
      </c>
      <c r="AC44" s="10">
        <v>1975.74</v>
      </c>
      <c r="AD44" s="10">
        <v>1339.26</v>
      </c>
      <c r="AE44" s="10">
        <v>1522.69</v>
      </c>
      <c r="AF44" s="10">
        <v>1812.2</v>
      </c>
      <c r="AG44" s="10">
        <v>3049.8</v>
      </c>
      <c r="AH44" s="10">
        <v>5049.8458870000004</v>
      </c>
      <c r="AI44" s="10">
        <v>4066.3966879999998</v>
      </c>
      <c r="AJ44" s="10">
        <v>3535.99712</v>
      </c>
      <c r="AK44" s="10">
        <v>928.2</v>
      </c>
      <c r="AL44" s="10">
        <v>1286.22</v>
      </c>
      <c r="AM44" s="14">
        <v>35</v>
      </c>
      <c r="AN44" s="14">
        <v>35</v>
      </c>
      <c r="AO44" s="14">
        <v>35</v>
      </c>
      <c r="AP44" s="14">
        <v>35</v>
      </c>
      <c r="AQ44" s="14">
        <v>35</v>
      </c>
      <c r="AR44" s="14">
        <v>35</v>
      </c>
      <c r="AS44" s="14">
        <v>35</v>
      </c>
      <c r="AT44" s="14">
        <v>35</v>
      </c>
      <c r="AU44" s="14">
        <v>35</v>
      </c>
      <c r="AV44" s="14">
        <v>35</v>
      </c>
      <c r="AW44" s="14">
        <v>30</v>
      </c>
      <c r="AX44" s="14">
        <v>35</v>
      </c>
    </row>
    <row r="45" spans="1:50" ht="20.100000000000001" customHeight="1">
      <c r="A45" s="1">
        <v>44</v>
      </c>
      <c r="B45" s="2" t="s">
        <v>42</v>
      </c>
      <c r="C45" s="10">
        <v>4788.9449999999997</v>
      </c>
      <c r="D45" s="10">
        <v>4517.0537000000004</v>
      </c>
      <c r="E45" s="10">
        <v>3632.3245999999999</v>
      </c>
      <c r="F45" s="10">
        <v>3795.0212000000001</v>
      </c>
      <c r="G45" s="10">
        <v>4022.2438000000002</v>
      </c>
      <c r="H45" s="10">
        <v>3813.6574999999998</v>
      </c>
      <c r="I45" s="10">
        <v>11098.936856369</v>
      </c>
      <c r="J45" s="10">
        <v>10532.477099899001</v>
      </c>
      <c r="K45" s="10">
        <v>8516.0236943420005</v>
      </c>
      <c r="L45" s="10">
        <v>8873.8124168640006</v>
      </c>
      <c r="M45" s="10">
        <v>9392.31035625</v>
      </c>
      <c r="N45" s="10">
        <v>8905.7459295073004</v>
      </c>
      <c r="O45" s="7">
        <v>4.8899999999999999E-2</v>
      </c>
      <c r="P45" s="7">
        <v>-5.6800000000000003E-2</v>
      </c>
      <c r="Q45" s="7">
        <v>-0.19589999999999999</v>
      </c>
      <c r="R45" s="7">
        <v>4.48E-2</v>
      </c>
      <c r="S45" s="7">
        <v>5.9900000000000002E-2</v>
      </c>
      <c r="T45" s="7">
        <v>-5.1900000000000002E-2</v>
      </c>
      <c r="U45" s="7">
        <v>4.8899999999999999E-2</v>
      </c>
      <c r="V45" s="7">
        <v>-5.0999999999999997E-2</v>
      </c>
      <c r="W45" s="7">
        <v>-0.1915</v>
      </c>
      <c r="X45" s="7">
        <v>4.2000000000000003E-2</v>
      </c>
      <c r="Y45" s="7">
        <v>5.8400000000000001E-2</v>
      </c>
      <c r="Z45" s="7">
        <v>-5.1799999999999999E-2</v>
      </c>
      <c r="AA45" s="10">
        <v>188931.972228</v>
      </c>
      <c r="AB45" s="10">
        <v>180572.150448</v>
      </c>
      <c r="AC45" s="10">
        <v>150894.78312899999</v>
      </c>
      <c r="AD45" s="10">
        <v>159045.60936450001</v>
      </c>
      <c r="AE45" s="10">
        <v>148386.836595</v>
      </c>
      <c r="AF45" s="10">
        <v>141280.988082</v>
      </c>
      <c r="AG45" s="10">
        <v>136892.08164749999</v>
      </c>
      <c r="AH45" s="10">
        <v>132503.17521300001</v>
      </c>
      <c r="AI45" s="10">
        <v>121217.41581000001</v>
      </c>
      <c r="AJ45" s="10">
        <v>127278.2866005</v>
      </c>
      <c r="AK45" s="10">
        <v>196253.2661138</v>
      </c>
      <c r="AL45" s="10">
        <v>227353.41364479999</v>
      </c>
      <c r="AM45" s="14">
        <v>50</v>
      </c>
      <c r="AN45" s="14">
        <v>40</v>
      </c>
      <c r="AO45" s="14">
        <v>40</v>
      </c>
      <c r="AP45" s="14">
        <v>40</v>
      </c>
      <c r="AQ45" s="14">
        <v>40</v>
      </c>
      <c r="AR45" s="14">
        <v>40</v>
      </c>
      <c r="AS45" s="14">
        <v>40</v>
      </c>
      <c r="AT45" s="14">
        <v>40</v>
      </c>
      <c r="AU45" s="14">
        <v>40</v>
      </c>
      <c r="AV45" s="14">
        <v>40</v>
      </c>
      <c r="AW45" s="14">
        <v>50</v>
      </c>
      <c r="AX45" s="14">
        <v>50</v>
      </c>
    </row>
    <row r="46" spans="1:50" ht="20.100000000000001" customHeight="1">
      <c r="A46" s="1">
        <v>45</v>
      </c>
      <c r="B46" s="2" t="s">
        <v>43</v>
      </c>
      <c r="C46" s="10">
        <v>1424.6113</v>
      </c>
      <c r="D46" s="10">
        <v>1326.4703</v>
      </c>
      <c r="E46" s="10">
        <v>1824.3516999999999</v>
      </c>
      <c r="F46" s="10">
        <v>2069.2865000000002</v>
      </c>
      <c r="G46" s="10">
        <v>2326.3431</v>
      </c>
      <c r="H46" s="10">
        <v>2266.009</v>
      </c>
      <c r="I46" s="10">
        <v>669.48412172400003</v>
      </c>
      <c r="J46" s="10">
        <v>659.75673456799996</v>
      </c>
      <c r="K46" s="10">
        <v>857.33877929599998</v>
      </c>
      <c r="L46" s="10">
        <v>972.44384663100004</v>
      </c>
      <c r="M46" s="10">
        <v>1093.2339695610001</v>
      </c>
      <c r="N46" s="10">
        <v>1064.8678597945</v>
      </c>
      <c r="O46" s="7">
        <v>-2.92E-2</v>
      </c>
      <c r="P46" s="7">
        <v>-6.8900000000000003E-2</v>
      </c>
      <c r="Q46" s="7">
        <v>0.37530000000000002</v>
      </c>
      <c r="R46" s="7">
        <v>0.1343</v>
      </c>
      <c r="S46" s="7">
        <v>0.1242</v>
      </c>
      <c r="T46" s="7">
        <v>-2.5899999999999999E-2</v>
      </c>
      <c r="U46" s="7">
        <v>-2.92E-2</v>
      </c>
      <c r="V46" s="7">
        <v>-1.4500000000000001E-2</v>
      </c>
      <c r="W46" s="7">
        <v>0.29949999999999999</v>
      </c>
      <c r="X46" s="7">
        <v>0.1343</v>
      </c>
      <c r="Y46" s="7">
        <v>0.1242</v>
      </c>
      <c r="Z46" s="7">
        <v>-2.5899999999999999E-2</v>
      </c>
      <c r="AA46" s="10">
        <v>6796.6761660000002</v>
      </c>
      <c r="AB46" s="10">
        <v>7799.9950286000003</v>
      </c>
      <c r="AC46" s="10">
        <v>6537.7551691999997</v>
      </c>
      <c r="AD46" s="10">
        <v>7120.3274119999996</v>
      </c>
      <c r="AE46" s="10">
        <v>7492.5263449000004</v>
      </c>
      <c r="AF46" s="10">
        <v>8544.3928943999999</v>
      </c>
      <c r="AG46" s="10">
        <v>10181.9614468</v>
      </c>
      <c r="AH46" s="10">
        <v>9861.5500725999991</v>
      </c>
      <c r="AI46" s="10">
        <v>8411.8665899000007</v>
      </c>
      <c r="AJ46" s="10">
        <v>8623.2381622499997</v>
      </c>
      <c r="AK46" s="10">
        <v>2983.2657171999999</v>
      </c>
      <c r="AL46" s="10">
        <v>4531.1174440000004</v>
      </c>
      <c r="AM46" s="14">
        <v>45</v>
      </c>
      <c r="AN46" s="14">
        <v>45</v>
      </c>
      <c r="AO46" s="14">
        <v>50</v>
      </c>
      <c r="AP46" s="14">
        <v>50</v>
      </c>
      <c r="AQ46" s="14">
        <v>50</v>
      </c>
      <c r="AR46" s="14">
        <v>50</v>
      </c>
      <c r="AS46" s="14">
        <v>50</v>
      </c>
      <c r="AT46" s="14">
        <v>50</v>
      </c>
      <c r="AU46" s="14">
        <v>45</v>
      </c>
      <c r="AV46" s="14">
        <v>45</v>
      </c>
      <c r="AW46" s="14">
        <v>45</v>
      </c>
      <c r="AX46" s="14">
        <v>45</v>
      </c>
    </row>
    <row r="47" spans="1:50" ht="20.100000000000001" customHeight="1">
      <c r="A47" s="1">
        <v>46</v>
      </c>
      <c r="B47" s="2" t="s">
        <v>44</v>
      </c>
      <c r="C47" s="10">
        <v>130.93940000000001</v>
      </c>
      <c r="D47" s="10">
        <v>137.70939999999999</v>
      </c>
      <c r="E47" s="10">
        <v>-4177.3505999999998</v>
      </c>
      <c r="F47" s="10">
        <v>425.75</v>
      </c>
      <c r="G47" s="10">
        <v>2590.721</v>
      </c>
      <c r="H47" s="10">
        <v>3885.7860999999998</v>
      </c>
      <c r="I47" s="10">
        <v>68.591150827000007</v>
      </c>
      <c r="J47" s="10">
        <v>74.584907229999999</v>
      </c>
      <c r="K47" s="10">
        <v>-2262.4990098540002</v>
      </c>
      <c r="L47" s="10">
        <v>230.59088918099999</v>
      </c>
      <c r="M47" s="10">
        <v>1403.162979</v>
      </c>
      <c r="N47" s="10">
        <v>2104.5844817478001</v>
      </c>
      <c r="O47" s="7">
        <v>-0.98199999999999998</v>
      </c>
      <c r="P47" s="7">
        <v>5.1700000000000003E-2</v>
      </c>
      <c r="Q47" s="7"/>
      <c r="R47" s="7"/>
      <c r="S47" s="7">
        <v>5.0850999999999997</v>
      </c>
      <c r="T47" s="7">
        <v>0.49990000000000001</v>
      </c>
      <c r="U47" s="7">
        <v>-0.98199999999999998</v>
      </c>
      <c r="V47" s="7">
        <v>8.7400000000000005E-2</v>
      </c>
      <c r="W47" s="7"/>
      <c r="X47" s="7"/>
      <c r="Y47" s="7">
        <v>5.0850999999999997</v>
      </c>
      <c r="Z47" s="7">
        <v>0.49990000000000001</v>
      </c>
      <c r="AA47" s="10">
        <v>65805.777080999993</v>
      </c>
      <c r="AB47" s="10">
        <v>69488.734152200006</v>
      </c>
      <c r="AC47" s="10">
        <v>70409.473419999995</v>
      </c>
      <c r="AD47" s="10">
        <v>59306.441073000002</v>
      </c>
      <c r="AE47" s="10">
        <v>51073.948796199998</v>
      </c>
      <c r="AF47" s="10">
        <v>58494.024072</v>
      </c>
      <c r="AG47" s="10">
        <v>54973.550401</v>
      </c>
      <c r="AH47" s="10">
        <v>54161.133399999999</v>
      </c>
      <c r="AI47" s="10">
        <v>52120.958525399998</v>
      </c>
      <c r="AJ47" s="10">
        <v>105306.817452</v>
      </c>
      <c r="AK47" s="10">
        <v>56574.568152</v>
      </c>
      <c r="AL47" s="10">
        <v>65479.824249999998</v>
      </c>
      <c r="AM47" s="14">
        <v>50</v>
      </c>
      <c r="AN47" s="14">
        <v>50</v>
      </c>
      <c r="AO47" s="14">
        <v>50</v>
      </c>
      <c r="AP47" s="14">
        <v>50</v>
      </c>
      <c r="AQ47" s="14">
        <v>50</v>
      </c>
      <c r="AR47" s="14">
        <v>55</v>
      </c>
      <c r="AS47" s="14">
        <v>55</v>
      </c>
      <c r="AT47" s="14">
        <v>55</v>
      </c>
      <c r="AU47" s="14">
        <v>50</v>
      </c>
      <c r="AV47" s="14">
        <v>45</v>
      </c>
      <c r="AW47" s="14">
        <v>50</v>
      </c>
      <c r="AX47" s="14">
        <v>50</v>
      </c>
    </row>
    <row r="48" spans="1:50" ht="20.100000000000001" customHeight="1">
      <c r="A48" s="1">
        <v>47</v>
      </c>
      <c r="B48" s="2" t="s">
        <v>45</v>
      </c>
      <c r="C48" s="10">
        <v>664.79780000000005</v>
      </c>
      <c r="D48" s="10">
        <v>1104.3671999999999</v>
      </c>
      <c r="E48" s="10">
        <v>1512.5728999999999</v>
      </c>
      <c r="F48" s="10">
        <v>1709.1721</v>
      </c>
      <c r="G48" s="10">
        <v>2641.7683000000002</v>
      </c>
      <c r="H48" s="10">
        <v>2480.7573000000002</v>
      </c>
      <c r="I48" s="10">
        <v>188.30131329100001</v>
      </c>
      <c r="J48" s="10">
        <v>296.14151902100002</v>
      </c>
      <c r="K48" s="10">
        <v>373.96853291500003</v>
      </c>
      <c r="L48" s="10">
        <v>405.92147041700002</v>
      </c>
      <c r="M48" s="10">
        <v>608.88907846100005</v>
      </c>
      <c r="N48" s="10">
        <v>588.82141732000002</v>
      </c>
      <c r="O48" s="7">
        <v>-0.31319999999999998</v>
      </c>
      <c r="P48" s="7">
        <v>0.66120000000000001</v>
      </c>
      <c r="Q48" s="7">
        <v>0.36959999999999998</v>
      </c>
      <c r="R48" s="7">
        <v>0.13</v>
      </c>
      <c r="S48" s="7">
        <v>0.54559999999999997</v>
      </c>
      <c r="T48" s="7">
        <v>-6.0900000000000003E-2</v>
      </c>
      <c r="U48" s="7">
        <v>-0.26829999999999998</v>
      </c>
      <c r="V48" s="7">
        <v>0.57269999999999999</v>
      </c>
      <c r="W48" s="7">
        <v>0.26279999999999998</v>
      </c>
      <c r="X48" s="7">
        <v>8.5400000000000004E-2</v>
      </c>
      <c r="Y48" s="7">
        <v>0.5</v>
      </c>
      <c r="Z48" s="7">
        <v>-3.3000000000000002E-2</v>
      </c>
      <c r="AA48" s="10">
        <v>5661.0477250000004</v>
      </c>
      <c r="AB48" s="10">
        <v>8042.4478749999998</v>
      </c>
      <c r="AC48" s="10">
        <v>4324.1213250000001</v>
      </c>
      <c r="AD48" s="10">
        <v>3122.9765124999999</v>
      </c>
      <c r="AE48" s="10">
        <v>4115.2265749999997</v>
      </c>
      <c r="AF48" s="10">
        <v>4219.6739500000003</v>
      </c>
      <c r="AG48" s="10">
        <v>5013.4740000000002</v>
      </c>
      <c r="AH48" s="10">
        <v>4961.2503125000003</v>
      </c>
      <c r="AI48" s="10">
        <v>5807.27405</v>
      </c>
      <c r="AJ48" s="10">
        <v>5849.0529999999999</v>
      </c>
      <c r="AK48" s="10">
        <v>4150.1139375000002</v>
      </c>
      <c r="AL48" s="10">
        <v>7250.8686250000001</v>
      </c>
      <c r="AM48" s="14">
        <v>40</v>
      </c>
      <c r="AN48" s="14">
        <v>51</v>
      </c>
      <c r="AO48" s="14">
        <v>70</v>
      </c>
      <c r="AP48" s="14">
        <v>65</v>
      </c>
      <c r="AQ48" s="14">
        <v>65</v>
      </c>
      <c r="AR48" s="14">
        <v>65</v>
      </c>
      <c r="AS48" s="14">
        <v>65</v>
      </c>
      <c r="AT48" s="14">
        <v>65</v>
      </c>
      <c r="AU48" s="14">
        <v>50</v>
      </c>
      <c r="AV48" s="14">
        <v>55</v>
      </c>
      <c r="AW48" s="14">
        <v>35</v>
      </c>
      <c r="AX48" s="14">
        <v>30</v>
      </c>
    </row>
    <row r="49" spans="1:50" ht="20.100000000000001" customHeight="1">
      <c r="A49" s="1">
        <v>48</v>
      </c>
      <c r="B49" s="2" t="s">
        <v>46</v>
      </c>
      <c r="C49" s="10">
        <v>3784.1671000000001</v>
      </c>
      <c r="D49" s="10">
        <v>2918.8443000000002</v>
      </c>
      <c r="E49" s="10">
        <v>1686.8359</v>
      </c>
      <c r="F49" s="10">
        <v>818.17330000000004</v>
      </c>
      <c r="G49" s="10">
        <v>463.80329999999998</v>
      </c>
      <c r="H49" s="10"/>
      <c r="I49" s="10">
        <v>327.76185231699998</v>
      </c>
      <c r="J49" s="10">
        <v>252.81278261700001</v>
      </c>
      <c r="K49" s="10">
        <v>152.08343488599999</v>
      </c>
      <c r="L49" s="10">
        <v>73.765686755999994</v>
      </c>
      <c r="M49" s="10">
        <v>53.079503553000002</v>
      </c>
      <c r="N49" s="10"/>
      <c r="O49" s="7">
        <v>-4.2599999999999999E-2</v>
      </c>
      <c r="P49" s="7">
        <v>-0.22869999999999999</v>
      </c>
      <c r="Q49" s="7">
        <v>-0.42209999999999998</v>
      </c>
      <c r="R49" s="7">
        <v>-0.51500000000000001</v>
      </c>
      <c r="S49" s="7">
        <v>-0.43309999999999998</v>
      </c>
      <c r="T49" s="7"/>
      <c r="U49" s="7">
        <v>-7.1999999999999998E-3</v>
      </c>
      <c r="V49" s="7">
        <v>-0.22869999999999999</v>
      </c>
      <c r="W49" s="7">
        <v>-0.39839999999999998</v>
      </c>
      <c r="X49" s="7">
        <v>-0.51500000000000001</v>
      </c>
      <c r="Y49" s="7">
        <v>-0.28039999999999998</v>
      </c>
      <c r="Z49" s="7"/>
      <c r="AA49" s="10">
        <v>1905.7060308</v>
      </c>
      <c r="AB49" s="10">
        <v>3320.2998306</v>
      </c>
      <c r="AC49" s="10">
        <v>1876.8767292</v>
      </c>
      <c r="AD49" s="10">
        <v>1426.7314974000001</v>
      </c>
      <c r="AE49" s="10">
        <v>2273.6148996000002</v>
      </c>
      <c r="AF49" s="10">
        <v>2040.9127034999999</v>
      </c>
      <c r="AG49" s="10">
        <v>2294.59624515</v>
      </c>
      <c r="AH49" s="10">
        <v>2122.9306906500001</v>
      </c>
      <c r="AI49" s="10">
        <v>1928.3763955500001</v>
      </c>
      <c r="AJ49" s="10">
        <v>2191.5969124500002</v>
      </c>
      <c r="AK49" s="10">
        <v>1137.8691174999999</v>
      </c>
      <c r="AL49" s="10">
        <v>2115.6002265000002</v>
      </c>
      <c r="AM49" s="14">
        <v>70</v>
      </c>
      <c r="AN49" s="14">
        <v>65</v>
      </c>
      <c r="AO49" s="14">
        <v>65</v>
      </c>
      <c r="AP49" s="14">
        <v>65</v>
      </c>
      <c r="AQ49" s="14">
        <v>65</v>
      </c>
      <c r="AR49" s="14">
        <v>65</v>
      </c>
      <c r="AS49" s="14">
        <v>70</v>
      </c>
      <c r="AT49" s="14">
        <v>75</v>
      </c>
      <c r="AU49" s="14">
        <v>75</v>
      </c>
      <c r="AV49" s="14">
        <v>75</v>
      </c>
      <c r="AW49" s="14">
        <v>70</v>
      </c>
      <c r="AX49" s="14">
        <v>60</v>
      </c>
    </row>
    <row r="50" spans="1:50" ht="20.100000000000001" customHeight="1">
      <c r="A50" s="1">
        <v>49</v>
      </c>
      <c r="B50" s="2" t="s">
        <v>47</v>
      </c>
      <c r="C50" s="10">
        <v>3885.5106999999998</v>
      </c>
      <c r="D50" s="10">
        <v>2702.8604</v>
      </c>
      <c r="E50" s="10">
        <v>-497.40699999999998</v>
      </c>
      <c r="F50" s="10">
        <v>3050.6203</v>
      </c>
      <c r="G50" s="10">
        <v>4665.5288</v>
      </c>
      <c r="H50" s="10"/>
      <c r="I50" s="10">
        <v>181.83785883900001</v>
      </c>
      <c r="J50" s="10">
        <v>126.42240235</v>
      </c>
      <c r="K50" s="10">
        <v>-23.254056092999999</v>
      </c>
      <c r="L50" s="10">
        <v>142.526687993</v>
      </c>
      <c r="M50" s="10">
        <v>217.97611636400001</v>
      </c>
      <c r="N50" s="10"/>
      <c r="O50" s="7">
        <v>0.39069999999999999</v>
      </c>
      <c r="P50" s="7">
        <v>-0.3044</v>
      </c>
      <c r="Q50" s="7"/>
      <c r="R50" s="7"/>
      <c r="S50" s="7">
        <v>0.52939999999999998</v>
      </c>
      <c r="T50" s="7"/>
      <c r="U50" s="7">
        <v>0.38990000000000002</v>
      </c>
      <c r="V50" s="7">
        <v>-0.30480000000000002</v>
      </c>
      <c r="W50" s="7"/>
      <c r="X50" s="7"/>
      <c r="Y50" s="7">
        <v>0.52939999999999998</v>
      </c>
      <c r="Z50" s="7"/>
      <c r="AA50" s="10">
        <v>2016.5952658399999</v>
      </c>
      <c r="AB50" s="10">
        <v>2515.8094717200001</v>
      </c>
      <c r="AC50" s="10">
        <v>1619.3458972799999</v>
      </c>
      <c r="AD50" s="10">
        <v>1131.41030256</v>
      </c>
      <c r="AE50" s="10">
        <v>1762.25280264</v>
      </c>
      <c r="AF50" s="10">
        <v>1683.38849736</v>
      </c>
      <c r="AG50" s="10">
        <v>1611.6724377600001</v>
      </c>
      <c r="AH50" s="10">
        <v>2009.7783295199999</v>
      </c>
      <c r="AI50" s="10">
        <v>2156.6677701600001</v>
      </c>
      <c r="AJ50" s="10">
        <v>2217.9184243200002</v>
      </c>
      <c r="AK50" s="10">
        <v>1634.1876139999999</v>
      </c>
      <c r="AL50" s="10">
        <v>1637.9636</v>
      </c>
      <c r="AM50" s="14">
        <v>100</v>
      </c>
      <c r="AN50" s="14">
        <v>40</v>
      </c>
      <c r="AO50" s="14">
        <v>35</v>
      </c>
      <c r="AP50" s="14">
        <v>40</v>
      </c>
      <c r="AQ50" s="14">
        <v>40</v>
      </c>
      <c r="AR50" s="14">
        <v>40</v>
      </c>
      <c r="AS50" s="14">
        <v>30</v>
      </c>
      <c r="AT50" s="14">
        <v>20</v>
      </c>
      <c r="AU50" s="14">
        <v>20</v>
      </c>
      <c r="AV50" s="14">
        <v>20</v>
      </c>
      <c r="AW50" s="14">
        <v>100</v>
      </c>
      <c r="AX50" s="14">
        <v>100</v>
      </c>
    </row>
    <row r="51" spans="1:50" ht="20.100000000000001" customHeight="1">
      <c r="A51" s="1">
        <v>50</v>
      </c>
      <c r="B51" s="2" t="s">
        <v>48</v>
      </c>
      <c r="C51" s="10">
        <v>194.66</v>
      </c>
      <c r="D51" s="10">
        <v>1306.7088000000001</v>
      </c>
      <c r="E51" s="10">
        <v>2445.1689999999999</v>
      </c>
      <c r="F51" s="10">
        <v>472.1164</v>
      </c>
      <c r="G51" s="10">
        <v>1152.21</v>
      </c>
      <c r="H51" s="10">
        <v>3559.855</v>
      </c>
      <c r="I51" s="10">
        <v>28.441759390000001</v>
      </c>
      <c r="J51" s="10">
        <v>190.92309291699999</v>
      </c>
      <c r="K51" s="10">
        <v>357.26340062499997</v>
      </c>
      <c r="L51" s="10">
        <v>68.980874155999999</v>
      </c>
      <c r="M51" s="10">
        <v>168.349285928</v>
      </c>
      <c r="N51" s="10">
        <v>520.13041057290002</v>
      </c>
      <c r="O51" s="7">
        <v>4.03</v>
      </c>
      <c r="P51" s="7">
        <v>5.7127999999999997</v>
      </c>
      <c r="Q51" s="7">
        <v>0.87119999999999997</v>
      </c>
      <c r="R51" s="7">
        <v>-0.80689999999999995</v>
      </c>
      <c r="S51" s="7">
        <v>1.4404999999999999</v>
      </c>
      <c r="T51" s="7">
        <v>2.0895999999999999</v>
      </c>
      <c r="U51" s="7">
        <v>4.03</v>
      </c>
      <c r="V51" s="7">
        <v>5.7127999999999997</v>
      </c>
      <c r="W51" s="7">
        <v>0.87119999999999997</v>
      </c>
      <c r="X51" s="7">
        <v>-0.80689999999999995</v>
      </c>
      <c r="Y51" s="7">
        <v>1.4404999999999999</v>
      </c>
      <c r="Z51" s="7">
        <v>2.0895999999999999</v>
      </c>
      <c r="AA51" s="10">
        <v>2269.0867469999998</v>
      </c>
      <c r="AB51" s="10">
        <v>3884.7700212</v>
      </c>
      <c r="AC51" s="10">
        <v>2380.4224908000001</v>
      </c>
      <c r="AD51" s="10">
        <v>1275.1010973</v>
      </c>
      <c r="AE51" s="10">
        <v>1492.0742988</v>
      </c>
      <c r="AF51" s="10">
        <v>1394.7651054</v>
      </c>
      <c r="AG51" s="10">
        <v>2808.6706076999999</v>
      </c>
      <c r="AH51" s="10">
        <v>2879.6800191000002</v>
      </c>
      <c r="AI51" s="10">
        <v>4080.8495069999999</v>
      </c>
      <c r="AJ51" s="10">
        <v>4212.3484170000002</v>
      </c>
      <c r="AK51" s="10">
        <v>869.64612480000005</v>
      </c>
      <c r="AL51" s="10">
        <v>1285.76712</v>
      </c>
      <c r="AM51" s="14">
        <v>100</v>
      </c>
      <c r="AN51" s="14">
        <v>35</v>
      </c>
      <c r="AO51" s="14">
        <v>20</v>
      </c>
      <c r="AP51" s="14">
        <v>35</v>
      </c>
      <c r="AQ51" s="14">
        <v>40</v>
      </c>
      <c r="AR51" s="14">
        <v>40</v>
      </c>
      <c r="AS51" s="14">
        <v>40</v>
      </c>
      <c r="AT51" s="14">
        <v>40</v>
      </c>
      <c r="AU51" s="14">
        <v>40</v>
      </c>
      <c r="AV51" s="14">
        <v>40</v>
      </c>
      <c r="AW51" s="14">
        <v>100</v>
      </c>
      <c r="AX51" s="14">
        <v>100</v>
      </c>
    </row>
    <row r="52" spans="1:50" ht="20.100000000000001" customHeight="1">
      <c r="A52" s="1">
        <v>51</v>
      </c>
      <c r="B52" s="2" t="s">
        <v>49</v>
      </c>
      <c r="C52" s="10">
        <v>568.16240000000005</v>
      </c>
      <c r="D52" s="10">
        <v>212.15960000000001</v>
      </c>
      <c r="E52" s="10">
        <v>218.0675</v>
      </c>
      <c r="F52" s="10">
        <v>167.148</v>
      </c>
      <c r="G52" s="10">
        <v>257.09949999999998</v>
      </c>
      <c r="H52" s="10"/>
      <c r="I52" s="10">
        <v>57.815636853999997</v>
      </c>
      <c r="J52" s="10">
        <v>21.588720091999999</v>
      </c>
      <c r="K52" s="10">
        <v>22.189894996</v>
      </c>
      <c r="L52" s="10">
        <v>17.340770955</v>
      </c>
      <c r="M52" s="10">
        <v>26.67278769</v>
      </c>
      <c r="N52" s="10"/>
      <c r="O52" s="7">
        <v>0.75519999999999998</v>
      </c>
      <c r="P52" s="7">
        <v>-0.62660000000000005</v>
      </c>
      <c r="Q52" s="7">
        <v>2.7799999999999998E-2</v>
      </c>
      <c r="R52" s="7">
        <v>-0.23350000000000001</v>
      </c>
      <c r="S52" s="7">
        <v>0.53820000000000001</v>
      </c>
      <c r="T52" s="7"/>
      <c r="U52" s="7">
        <v>0.75509999999999999</v>
      </c>
      <c r="V52" s="7">
        <v>-0.62660000000000005</v>
      </c>
      <c r="W52" s="7">
        <v>2.7799999999999998E-2</v>
      </c>
      <c r="X52" s="7">
        <v>-0.2185</v>
      </c>
      <c r="Y52" s="7">
        <v>0.53820000000000001</v>
      </c>
      <c r="Z52" s="7"/>
      <c r="AA52" s="10">
        <v>1029.4712692749999</v>
      </c>
      <c r="AB52" s="10">
        <v>2287.3860494249998</v>
      </c>
      <c r="AC52" s="10">
        <v>874.90303185000005</v>
      </c>
      <c r="AD52" s="10">
        <v>592.01975334999997</v>
      </c>
      <c r="AE52" s="10">
        <v>967.39975852500004</v>
      </c>
      <c r="AF52" s="10">
        <v>792.50856681300002</v>
      </c>
      <c r="AG52" s="10">
        <v>825.81073332000005</v>
      </c>
      <c r="AH52" s="10">
        <v>674.44668056700004</v>
      </c>
      <c r="AI52" s="10">
        <v>922.39739069699999</v>
      </c>
      <c r="AJ52" s="10">
        <v>877.060796418</v>
      </c>
      <c r="AK52" s="10">
        <v>543.81600000000003</v>
      </c>
      <c r="AL52" s="10">
        <v>1518.9477717699999</v>
      </c>
      <c r="AM52" s="14">
        <v>100</v>
      </c>
      <c r="AN52" s="14">
        <v>35</v>
      </c>
      <c r="AO52" s="14">
        <v>35</v>
      </c>
      <c r="AP52" s="14">
        <v>60</v>
      </c>
      <c r="AQ52" s="14">
        <v>60</v>
      </c>
      <c r="AR52" s="14">
        <v>60</v>
      </c>
      <c r="AS52" s="14">
        <v>60</v>
      </c>
      <c r="AT52" s="14">
        <v>60</v>
      </c>
      <c r="AU52" s="14">
        <v>60</v>
      </c>
      <c r="AV52" s="14">
        <v>60</v>
      </c>
      <c r="AW52" s="14">
        <v>100</v>
      </c>
      <c r="AX52" s="14">
        <v>100</v>
      </c>
    </row>
    <row r="53" spans="1:50" ht="20.100000000000001" customHeight="1">
      <c r="A53" s="1">
        <v>52</v>
      </c>
      <c r="B53" s="2" t="s">
        <v>50</v>
      </c>
      <c r="C53" s="10">
        <v>2171.9214000000002</v>
      </c>
      <c r="D53" s="10">
        <v>1854.2324000000001</v>
      </c>
      <c r="E53" s="10">
        <v>3068.7424999999998</v>
      </c>
      <c r="F53" s="10">
        <v>1643.335</v>
      </c>
      <c r="G53" s="10">
        <v>287.9502</v>
      </c>
      <c r="H53" s="10">
        <v>2956.0540999999998</v>
      </c>
      <c r="I53" s="10">
        <v>625.24411876199997</v>
      </c>
      <c r="J53" s="10">
        <v>533.78907303999995</v>
      </c>
      <c r="K53" s="10">
        <v>883.41741616499996</v>
      </c>
      <c r="L53" s="10">
        <v>473.07674202599998</v>
      </c>
      <c r="M53" s="10">
        <v>82.893960390000004</v>
      </c>
      <c r="N53" s="10">
        <v>850.97703625459997</v>
      </c>
      <c r="O53" s="7">
        <v>-0.17100000000000001</v>
      </c>
      <c r="P53" s="7">
        <v>-0.14630000000000001</v>
      </c>
      <c r="Q53" s="7">
        <v>0.65500000000000003</v>
      </c>
      <c r="R53" s="7">
        <v>-0.46450000000000002</v>
      </c>
      <c r="S53" s="7">
        <v>-0.82479999999999998</v>
      </c>
      <c r="T53" s="7">
        <v>9.2659000000000002</v>
      </c>
      <c r="U53" s="7">
        <v>-0.17100000000000001</v>
      </c>
      <c r="V53" s="7">
        <v>-0.14630000000000001</v>
      </c>
      <c r="W53" s="7">
        <v>0.65500000000000003</v>
      </c>
      <c r="X53" s="7">
        <v>-0.46450000000000002</v>
      </c>
      <c r="Y53" s="7">
        <v>-0.82479999999999998</v>
      </c>
      <c r="Z53" s="7">
        <v>9.2659000000000002</v>
      </c>
      <c r="AA53" s="10">
        <v>5901.4585944999999</v>
      </c>
      <c r="AB53" s="10">
        <v>7571.1395627000002</v>
      </c>
      <c r="AC53" s="10">
        <v>7139.3255191999997</v>
      </c>
      <c r="AD53" s="10">
        <v>8305.2234366499997</v>
      </c>
      <c r="AE53" s="10">
        <v>8607.4932671000006</v>
      </c>
      <c r="AF53" s="10">
        <v>7052.9627105</v>
      </c>
      <c r="AG53" s="10">
        <v>6246.9098292999997</v>
      </c>
      <c r="AH53" s="10">
        <v>6031.0028075500004</v>
      </c>
      <c r="AI53" s="10">
        <v>5541.6135582500001</v>
      </c>
      <c r="AJ53" s="10">
        <v>6966.5999018000002</v>
      </c>
      <c r="AK53" s="10">
        <v>6074.1842119000003</v>
      </c>
      <c r="AL53" s="10">
        <v>7081.7503133999999</v>
      </c>
      <c r="AM53" s="14">
        <v>30</v>
      </c>
      <c r="AN53" s="14">
        <v>30</v>
      </c>
      <c r="AO53" s="14">
        <v>30</v>
      </c>
      <c r="AP53" s="14">
        <v>30</v>
      </c>
      <c r="AQ53" s="14">
        <v>30</v>
      </c>
      <c r="AR53" s="14">
        <v>30</v>
      </c>
      <c r="AS53" s="14">
        <v>30</v>
      </c>
      <c r="AT53" s="14">
        <v>30</v>
      </c>
      <c r="AU53" s="14">
        <v>30</v>
      </c>
      <c r="AV53" s="14">
        <v>30</v>
      </c>
      <c r="AW53" s="14">
        <v>30</v>
      </c>
      <c r="AX53" s="14">
        <v>30</v>
      </c>
    </row>
    <row r="54" spans="1:50" ht="20.100000000000001" customHeight="1">
      <c r="A54" s="1">
        <v>53</v>
      </c>
      <c r="B54" s="2" t="s">
        <v>51</v>
      </c>
      <c r="C54" s="10">
        <v>1833.5201999999999</v>
      </c>
      <c r="D54" s="10">
        <v>3918.8964000000001</v>
      </c>
      <c r="E54" s="10">
        <v>2034.4583</v>
      </c>
      <c r="F54" s="10">
        <v>2710.8510000000001</v>
      </c>
      <c r="G54" s="10">
        <v>2769.4441000000002</v>
      </c>
      <c r="H54" s="10"/>
      <c r="I54" s="10">
        <v>132.38015727199999</v>
      </c>
      <c r="J54" s="10">
        <v>282.94432141800002</v>
      </c>
      <c r="K54" s="10">
        <v>146.88788623100001</v>
      </c>
      <c r="L54" s="10">
        <v>195.72343990300001</v>
      </c>
      <c r="M54" s="10">
        <v>199.95386161299999</v>
      </c>
      <c r="N54" s="10"/>
      <c r="O54" s="7">
        <v>-2.2800000000000001E-2</v>
      </c>
      <c r="P54" s="7">
        <v>1.1374</v>
      </c>
      <c r="Q54" s="7">
        <v>-0.48089999999999999</v>
      </c>
      <c r="R54" s="7">
        <v>0.33250000000000002</v>
      </c>
      <c r="S54" s="7">
        <v>2.1600000000000001E-2</v>
      </c>
      <c r="T54" s="7"/>
      <c r="U54" s="7">
        <v>-2.3099999999999999E-2</v>
      </c>
      <c r="V54" s="7">
        <v>1.1374</v>
      </c>
      <c r="W54" s="7">
        <v>-0.48089999999999999</v>
      </c>
      <c r="X54" s="7">
        <v>0.33250000000000002</v>
      </c>
      <c r="Y54" s="7">
        <v>2.1600000000000001E-2</v>
      </c>
      <c r="Z54" s="7"/>
      <c r="AA54" s="10">
        <v>2173.2243644999999</v>
      </c>
      <c r="AB54" s="10">
        <v>2895.2258145000001</v>
      </c>
      <c r="AC54" s="10">
        <v>1299.6026099999999</v>
      </c>
      <c r="AD54" s="10">
        <v>1487.322987</v>
      </c>
      <c r="AE54" s="10">
        <v>1696.7034074999999</v>
      </c>
      <c r="AF54" s="10">
        <v>1833.883683</v>
      </c>
      <c r="AG54" s="10">
        <v>2888.0057999999999</v>
      </c>
      <c r="AH54" s="10">
        <v>2671.4053650000001</v>
      </c>
      <c r="AI54" s="10">
        <v>2303.1846255</v>
      </c>
      <c r="AJ54" s="10">
        <v>2368.1647560000001</v>
      </c>
      <c r="AK54" s="10">
        <v>700.34140649999995</v>
      </c>
      <c r="AL54" s="10">
        <v>1321.2626534999999</v>
      </c>
      <c r="AM54" s="14">
        <v>100</v>
      </c>
      <c r="AN54" s="14">
        <v>45</v>
      </c>
      <c r="AO54" s="14">
        <v>40</v>
      </c>
      <c r="AP54" s="14">
        <v>40</v>
      </c>
      <c r="AQ54" s="14">
        <v>40</v>
      </c>
      <c r="AR54" s="14">
        <v>45</v>
      </c>
      <c r="AS54" s="14">
        <v>40</v>
      </c>
      <c r="AT54" s="14">
        <v>40</v>
      </c>
      <c r="AU54" s="14">
        <v>40</v>
      </c>
      <c r="AV54" s="14">
        <v>40</v>
      </c>
      <c r="AW54" s="14">
        <v>100</v>
      </c>
      <c r="AX54" s="14">
        <v>100</v>
      </c>
    </row>
    <row r="55" spans="1:50" ht="20.100000000000001" customHeight="1">
      <c r="A55" s="1">
        <v>54</v>
      </c>
      <c r="B55" s="2" t="s">
        <v>52</v>
      </c>
      <c r="C55" s="10">
        <v>292.35640000000001</v>
      </c>
      <c r="D55" s="10">
        <v>390.67509999999999</v>
      </c>
      <c r="E55" s="10">
        <v>571.55449999999996</v>
      </c>
      <c r="F55" s="10">
        <v>86.075599999999994</v>
      </c>
      <c r="G55" s="10">
        <v>473.61219999999997</v>
      </c>
      <c r="H55" s="10"/>
      <c r="I55" s="10">
        <v>160.85599999999999</v>
      </c>
      <c r="J55" s="10">
        <v>248.83799999999999</v>
      </c>
      <c r="K55" s="10">
        <v>364.048</v>
      </c>
      <c r="L55" s="10">
        <v>56.567999999999998</v>
      </c>
      <c r="M55" s="10">
        <v>311.25200000000001</v>
      </c>
      <c r="N55" s="10"/>
      <c r="O55" s="7">
        <v>0</v>
      </c>
      <c r="P55" s="7">
        <v>0.33629999999999999</v>
      </c>
      <c r="Q55" s="7">
        <v>0.46300000000000002</v>
      </c>
      <c r="R55" s="7">
        <v>-0.84940000000000004</v>
      </c>
      <c r="S55" s="7">
        <v>4.5023</v>
      </c>
      <c r="T55" s="7"/>
      <c r="U55" s="7">
        <v>0.27610000000000001</v>
      </c>
      <c r="V55" s="7">
        <v>0.54700000000000004</v>
      </c>
      <c r="W55" s="7">
        <v>0.46300000000000002</v>
      </c>
      <c r="X55" s="7">
        <v>-0.84460000000000002</v>
      </c>
      <c r="Y55" s="7">
        <v>4.5023</v>
      </c>
      <c r="Z55" s="7"/>
      <c r="AA55" s="10">
        <v>8541.0830299999998</v>
      </c>
      <c r="AB55" s="10">
        <v>8589.9060000000009</v>
      </c>
      <c r="AC55" s="10">
        <v>4895.8793299999998</v>
      </c>
      <c r="AD55" s="10">
        <v>3636.0264499999998</v>
      </c>
      <c r="AE55" s="10">
        <v>5494.3993600000003</v>
      </c>
      <c r="AF55" s="10">
        <v>5322.8248000000003</v>
      </c>
      <c r="AG55" s="10">
        <v>5944.4063200000001</v>
      </c>
      <c r="AH55" s="10">
        <v>6410.7974796549997</v>
      </c>
      <c r="AI55" s="10">
        <v>7938.4253399999998</v>
      </c>
      <c r="AJ55" s="10">
        <v>8717.0744599999998</v>
      </c>
      <c r="AK55" s="10"/>
      <c r="AL55" s="10">
        <v>5077.1233285300004</v>
      </c>
      <c r="AM55" s="14">
        <v>100</v>
      </c>
      <c r="AN55" s="14">
        <v>70</v>
      </c>
      <c r="AO55" s="14">
        <v>75</v>
      </c>
      <c r="AP55" s="14">
        <v>90</v>
      </c>
      <c r="AQ55" s="14">
        <v>90</v>
      </c>
      <c r="AR55" s="14">
        <v>85</v>
      </c>
      <c r="AS55" s="14">
        <v>85</v>
      </c>
      <c r="AT55" s="14">
        <v>90</v>
      </c>
      <c r="AU55" s="14">
        <v>90</v>
      </c>
      <c r="AV55" s="14">
        <v>85</v>
      </c>
      <c r="AW55" s="14">
        <v>100</v>
      </c>
      <c r="AX55" s="14">
        <v>100</v>
      </c>
    </row>
    <row r="56" spans="1:50" ht="20.100000000000001" customHeight="1">
      <c r="A56" s="1">
        <v>55</v>
      </c>
      <c r="B56" s="2" t="s">
        <v>53</v>
      </c>
      <c r="C56" s="10">
        <v>425.54289999999997</v>
      </c>
      <c r="D56" s="10">
        <v>1708.6994999999999</v>
      </c>
      <c r="E56" s="10">
        <v>640.95460000000003</v>
      </c>
      <c r="F56" s="10">
        <v>640.82190000000003</v>
      </c>
      <c r="G56" s="10">
        <v>591.95510000000002</v>
      </c>
      <c r="H56" s="10"/>
      <c r="I56" s="10">
        <v>96.793289689999995</v>
      </c>
      <c r="J56" s="10">
        <v>390.13020245299998</v>
      </c>
      <c r="K56" s="10">
        <v>146.342776418</v>
      </c>
      <c r="L56" s="10">
        <v>146.30907942100001</v>
      </c>
      <c r="M56" s="10">
        <v>135.152065932</v>
      </c>
      <c r="N56" s="10"/>
      <c r="O56" s="7">
        <v>0.41810000000000003</v>
      </c>
      <c r="P56" s="7">
        <v>3.0152999999999999</v>
      </c>
      <c r="Q56" s="7">
        <v>-0.62490000000000001</v>
      </c>
      <c r="R56" s="7">
        <v>-2.0000000000000001E-4</v>
      </c>
      <c r="S56" s="7">
        <v>-7.6300000000000007E-2</v>
      </c>
      <c r="T56" s="7"/>
      <c r="U56" s="7">
        <v>0.41810000000000003</v>
      </c>
      <c r="V56" s="7">
        <v>3.0306000000000002</v>
      </c>
      <c r="W56" s="7">
        <v>-0.62490000000000001</v>
      </c>
      <c r="X56" s="7">
        <v>-2.0000000000000001E-4</v>
      </c>
      <c r="Y56" s="7">
        <v>-7.6300000000000007E-2</v>
      </c>
      <c r="Z56" s="7"/>
      <c r="AA56" s="10">
        <v>2914.5593514000002</v>
      </c>
      <c r="AB56" s="10">
        <v>5405.9988014999999</v>
      </c>
      <c r="AC56" s="10">
        <v>1994.91955773</v>
      </c>
      <c r="AD56" s="10">
        <v>1615.471965</v>
      </c>
      <c r="AE56" s="10">
        <v>3047.7863573</v>
      </c>
      <c r="AF56" s="10">
        <v>3457.0297550999999</v>
      </c>
      <c r="AG56" s="10">
        <v>3984.738347</v>
      </c>
      <c r="AH56" s="10">
        <v>3650.8818909000001</v>
      </c>
      <c r="AI56" s="10">
        <v>3379.0142848</v>
      </c>
      <c r="AJ56" s="10">
        <v>3573.0792944</v>
      </c>
      <c r="AK56" s="10">
        <v>734.97583643999997</v>
      </c>
      <c r="AL56" s="10">
        <v>1816.3195957999999</v>
      </c>
      <c r="AM56" s="14">
        <v>25</v>
      </c>
      <c r="AN56" s="14">
        <v>30</v>
      </c>
      <c r="AO56" s="14">
        <v>30</v>
      </c>
      <c r="AP56" s="14">
        <v>30</v>
      </c>
      <c r="AQ56" s="14">
        <v>30</v>
      </c>
      <c r="AR56" s="14">
        <v>30</v>
      </c>
      <c r="AS56" s="14">
        <v>30</v>
      </c>
      <c r="AT56" s="14">
        <v>30</v>
      </c>
      <c r="AU56" s="14">
        <v>30</v>
      </c>
      <c r="AV56" s="14">
        <v>30</v>
      </c>
      <c r="AW56" s="14">
        <v>25</v>
      </c>
      <c r="AX56" s="14">
        <v>25</v>
      </c>
    </row>
    <row r="57" spans="1:50" ht="20.100000000000001" customHeight="1">
      <c r="A57" s="1">
        <v>56</v>
      </c>
      <c r="B57" s="2" t="s">
        <v>54</v>
      </c>
      <c r="C57" s="10">
        <v>453.42149999999998</v>
      </c>
      <c r="D57" s="10">
        <v>807.21860000000004</v>
      </c>
      <c r="E57" s="10">
        <v>519.827</v>
      </c>
      <c r="F57" s="10">
        <v>875.55499999999995</v>
      </c>
      <c r="G57" s="10">
        <v>1128.3078</v>
      </c>
      <c r="H57" s="10"/>
      <c r="I57" s="10">
        <v>89.265995958999994</v>
      </c>
      <c r="J57" s="10">
        <v>210.68406243499999</v>
      </c>
      <c r="K57" s="10">
        <v>135.674849362</v>
      </c>
      <c r="L57" s="10">
        <v>228.51984382000001</v>
      </c>
      <c r="M57" s="10">
        <v>379.11142857099998</v>
      </c>
      <c r="N57" s="10"/>
      <c r="O57" s="7">
        <v>-0.34320000000000001</v>
      </c>
      <c r="P57" s="7">
        <v>0.78029999999999999</v>
      </c>
      <c r="Q57" s="7">
        <v>-0.35599999999999998</v>
      </c>
      <c r="R57" s="7">
        <v>0.68430000000000002</v>
      </c>
      <c r="S57" s="7">
        <v>0.28870000000000001</v>
      </c>
      <c r="T57" s="7"/>
      <c r="U57" s="7">
        <v>0.64200000000000002</v>
      </c>
      <c r="V57" s="7">
        <v>1.3602000000000001</v>
      </c>
      <c r="W57" s="7">
        <v>-0.35599999999999998</v>
      </c>
      <c r="X57" s="7">
        <v>0.68430000000000002</v>
      </c>
      <c r="Y57" s="7">
        <v>0.65900000000000003</v>
      </c>
      <c r="Z57" s="7"/>
      <c r="AA57" s="10">
        <v>5091.3999999999996</v>
      </c>
      <c r="AB57" s="10">
        <v>5220</v>
      </c>
      <c r="AC57" s="10">
        <v>2950</v>
      </c>
      <c r="AD57" s="10">
        <v>1734</v>
      </c>
      <c r="AE57" s="10">
        <v>3030</v>
      </c>
      <c r="AF57" s="10">
        <v>3400</v>
      </c>
      <c r="AG57" s="10">
        <v>4233.5967618000004</v>
      </c>
      <c r="AH57" s="10">
        <v>4720.7963891500003</v>
      </c>
      <c r="AI57" s="10">
        <v>3121.4376124700002</v>
      </c>
      <c r="AJ57" s="10">
        <v>4737.5963763</v>
      </c>
      <c r="AK57" s="10">
        <v>313.47876000000002</v>
      </c>
      <c r="AL57" s="10">
        <v>1172.5999999999999</v>
      </c>
      <c r="AM57" s="14">
        <v>83</v>
      </c>
      <c r="AN57" s="14">
        <v>82</v>
      </c>
      <c r="AO57" s="14">
        <v>25</v>
      </c>
      <c r="AP57" s="14">
        <v>90</v>
      </c>
      <c r="AQ57" s="14">
        <v>90</v>
      </c>
      <c r="AR57" s="14">
        <v>85</v>
      </c>
      <c r="AS57" s="14">
        <v>90</v>
      </c>
      <c r="AT57" s="14">
        <v>90</v>
      </c>
      <c r="AU57" s="14">
        <v>85</v>
      </c>
      <c r="AV57" s="14">
        <v>85</v>
      </c>
      <c r="AW57" s="14">
        <v>81</v>
      </c>
      <c r="AX57" s="14">
        <v>72</v>
      </c>
    </row>
    <row r="58" spans="1:50" ht="20.100000000000001" customHeight="1">
      <c r="A58" s="1">
        <v>57</v>
      </c>
      <c r="B58" s="2" t="s">
        <v>55</v>
      </c>
      <c r="C58" s="10">
        <v>69.5107</v>
      </c>
      <c r="D58" s="10">
        <v>3061.4470000000001</v>
      </c>
      <c r="E58" s="10">
        <v>2584.9277000000002</v>
      </c>
      <c r="F58" s="10">
        <v>377.99579999999997</v>
      </c>
      <c r="G58" s="10">
        <v>320.267</v>
      </c>
      <c r="H58" s="10"/>
      <c r="I58" s="10">
        <v>3.3230983169999999</v>
      </c>
      <c r="J58" s="10">
        <v>377.69684045899999</v>
      </c>
      <c r="K58" s="10">
        <v>318.90769519200001</v>
      </c>
      <c r="L58" s="10">
        <v>86.939040220999999</v>
      </c>
      <c r="M58" s="10">
        <v>73.661409934000005</v>
      </c>
      <c r="N58" s="10"/>
      <c r="O58" s="7">
        <v>0</v>
      </c>
      <c r="P58" s="7">
        <v>43.0428</v>
      </c>
      <c r="Q58" s="7">
        <v>-0.15570000000000001</v>
      </c>
      <c r="R58" s="7">
        <v>-0.8538</v>
      </c>
      <c r="S58" s="7">
        <v>-0.1527</v>
      </c>
      <c r="T58" s="7"/>
      <c r="U58" s="7">
        <v>-0.82589999999999997</v>
      </c>
      <c r="V58" s="7">
        <v>112.658</v>
      </c>
      <c r="W58" s="7">
        <v>-0.15570000000000001</v>
      </c>
      <c r="X58" s="7">
        <v>-0.72740000000000005</v>
      </c>
      <c r="Y58" s="7">
        <v>-0.1527</v>
      </c>
      <c r="Z58" s="7"/>
      <c r="AA58" s="10">
        <v>503.71899999999999</v>
      </c>
      <c r="AB58" s="10">
        <v>2377.52</v>
      </c>
      <c r="AC58" s="10">
        <v>1427.6</v>
      </c>
      <c r="AD58" s="10">
        <v>724.08</v>
      </c>
      <c r="AE58" s="10">
        <v>2261.1999999999998</v>
      </c>
      <c r="AF58" s="10">
        <v>1951.315936164</v>
      </c>
      <c r="AG58" s="10">
        <v>1866.2161133940001</v>
      </c>
      <c r="AH58" s="10">
        <v>2023.7657852790001</v>
      </c>
      <c r="AI58" s="10">
        <v>2025.605781447</v>
      </c>
      <c r="AJ58" s="10">
        <v>2037.79575606</v>
      </c>
      <c r="AK58" s="10"/>
      <c r="AL58" s="10">
        <v>257.17599999999999</v>
      </c>
      <c r="AM58" s="14">
        <v>100</v>
      </c>
      <c r="AN58" s="14">
        <v>40</v>
      </c>
      <c r="AO58" s="14">
        <v>90</v>
      </c>
      <c r="AP58" s="14">
        <v>100</v>
      </c>
      <c r="AQ58" s="14">
        <v>100</v>
      </c>
      <c r="AR58" s="14">
        <v>100</v>
      </c>
      <c r="AS58" s="14">
        <v>100</v>
      </c>
      <c r="AT58" s="14">
        <v>100</v>
      </c>
      <c r="AU58" s="14">
        <v>100</v>
      </c>
      <c r="AV58" s="14">
        <v>100</v>
      </c>
      <c r="AW58" s="14">
        <v>100</v>
      </c>
      <c r="AX58" s="14">
        <v>100</v>
      </c>
    </row>
    <row r="59" spans="1:50" ht="20.100000000000001" customHeight="1">
      <c r="A59" s="1">
        <v>58</v>
      </c>
      <c r="B59" s="2" t="s">
        <v>56</v>
      </c>
      <c r="C59" s="10">
        <v>619.40530000000001</v>
      </c>
      <c r="D59" s="10">
        <v>1867.5976000000001</v>
      </c>
      <c r="E59" s="10">
        <v>334.21260000000001</v>
      </c>
      <c r="F59" s="10">
        <v>881.29420000000005</v>
      </c>
      <c r="G59" s="10">
        <v>1086.4662000000001</v>
      </c>
      <c r="H59" s="10"/>
      <c r="I59" s="10">
        <v>128.18739069399999</v>
      </c>
      <c r="J59" s="10">
        <v>386.50377357000002</v>
      </c>
      <c r="K59" s="10">
        <v>71.067936263999997</v>
      </c>
      <c r="L59" s="10">
        <v>187.40097816400001</v>
      </c>
      <c r="M59" s="10">
        <v>231.08677429799999</v>
      </c>
      <c r="N59" s="10"/>
      <c r="O59" s="7">
        <v>0.1166</v>
      </c>
      <c r="P59" s="7">
        <v>2.0150999999999999</v>
      </c>
      <c r="Q59" s="7">
        <v>-0.82099999999999995</v>
      </c>
      <c r="R59" s="7">
        <v>1.6369</v>
      </c>
      <c r="S59" s="7">
        <v>0.23280000000000001</v>
      </c>
      <c r="T59" s="7"/>
      <c r="U59" s="7">
        <v>0.1166</v>
      </c>
      <c r="V59" s="7">
        <v>2.0150999999999999</v>
      </c>
      <c r="W59" s="7">
        <v>-0.81610000000000005</v>
      </c>
      <c r="X59" s="7">
        <v>1.6369</v>
      </c>
      <c r="Y59" s="7">
        <v>0.2331</v>
      </c>
      <c r="Z59" s="7"/>
      <c r="AA59" s="10">
        <v>2468.4710448000001</v>
      </c>
      <c r="AB59" s="10">
        <v>4931.6221089000001</v>
      </c>
      <c r="AC59" s="10">
        <v>1752.3751972499999</v>
      </c>
      <c r="AD59" s="10">
        <v>1881.0720648500001</v>
      </c>
      <c r="AE59" s="10">
        <v>3197.0790035</v>
      </c>
      <c r="AF59" s="10">
        <v>4208.2481766999999</v>
      </c>
      <c r="AG59" s="10">
        <v>5733.8618890500002</v>
      </c>
      <c r="AH59" s="10">
        <v>5280.2100405000001</v>
      </c>
      <c r="AI59" s="10">
        <v>5700.1841383999999</v>
      </c>
      <c r="AJ59" s="10">
        <v>7582.5210647000004</v>
      </c>
      <c r="AK59" s="10">
        <v>776.71718220000002</v>
      </c>
      <c r="AL59" s="10">
        <v>1681.1139012000001</v>
      </c>
      <c r="AM59" s="14">
        <v>25</v>
      </c>
      <c r="AN59" s="14">
        <v>25</v>
      </c>
      <c r="AO59" s="14">
        <v>25</v>
      </c>
      <c r="AP59" s="14">
        <v>25</v>
      </c>
      <c r="AQ59" s="14">
        <v>25</v>
      </c>
      <c r="AR59" s="14">
        <v>25</v>
      </c>
      <c r="AS59" s="14">
        <v>25</v>
      </c>
      <c r="AT59" s="14">
        <v>25</v>
      </c>
      <c r="AU59" s="14">
        <v>25</v>
      </c>
      <c r="AV59" s="14">
        <v>25</v>
      </c>
      <c r="AW59" s="14">
        <v>25</v>
      </c>
      <c r="AX59" s="14">
        <v>25</v>
      </c>
    </row>
    <row r="60" spans="1:50" ht="20.100000000000001" customHeight="1">
      <c r="A60" s="1">
        <v>59</v>
      </c>
      <c r="B60" s="2" t="s">
        <v>57</v>
      </c>
      <c r="C60" s="10">
        <v>4136.3027000000002</v>
      </c>
      <c r="D60" s="10">
        <v>4293.3199000000004</v>
      </c>
      <c r="E60" s="10">
        <v>5681.6109999999999</v>
      </c>
      <c r="F60" s="10">
        <v>4620.2199000000001</v>
      </c>
      <c r="G60" s="10">
        <v>5491.5207</v>
      </c>
      <c r="H60" s="10">
        <v>4988.8591999999999</v>
      </c>
      <c r="I60" s="10">
        <v>5551.7669011329999</v>
      </c>
      <c r="J60" s="10">
        <v>5750.6551615810004</v>
      </c>
      <c r="K60" s="10">
        <v>7595.2720971389999</v>
      </c>
      <c r="L60" s="10">
        <v>6201.1138698690002</v>
      </c>
      <c r="M60" s="10">
        <v>7361.1925647150001</v>
      </c>
      <c r="N60" s="10">
        <v>6687.3923117513996</v>
      </c>
      <c r="O60" s="7">
        <v>-0.2364</v>
      </c>
      <c r="P60" s="7">
        <v>3.7999999999999999E-2</v>
      </c>
      <c r="Q60" s="7">
        <v>0.32340000000000002</v>
      </c>
      <c r="R60" s="7">
        <v>-0.18679999999999999</v>
      </c>
      <c r="S60" s="7">
        <v>0.18859999999999999</v>
      </c>
      <c r="T60" s="7">
        <v>-9.1499999999999998E-2</v>
      </c>
      <c r="U60" s="7">
        <v>-0.2374</v>
      </c>
      <c r="V60" s="7">
        <v>3.5799999999999998E-2</v>
      </c>
      <c r="W60" s="7">
        <v>0.32079999999999997</v>
      </c>
      <c r="X60" s="7">
        <v>-0.18360000000000001</v>
      </c>
      <c r="Y60" s="7">
        <v>0.18709999999999999</v>
      </c>
      <c r="Z60" s="7">
        <v>-9.1499999999999998E-2</v>
      </c>
      <c r="AA60" s="10">
        <v>63846.182399999998</v>
      </c>
      <c r="AB60" s="10">
        <v>58266.551200000002</v>
      </c>
      <c r="AC60" s="10">
        <v>57885.185599999997</v>
      </c>
      <c r="AD60" s="10">
        <v>52215.196000000004</v>
      </c>
      <c r="AE60" s="10">
        <v>50143.596799999999</v>
      </c>
      <c r="AF60" s="10">
        <v>45434.329599999997</v>
      </c>
      <c r="AG60" s="10">
        <v>58746.248</v>
      </c>
      <c r="AH60" s="10">
        <v>52438.434399999998</v>
      </c>
      <c r="AI60" s="10">
        <v>52011.889600000002</v>
      </c>
      <c r="AJ60" s="10">
        <v>47870.02</v>
      </c>
      <c r="AK60" s="10">
        <v>56327.832000000002</v>
      </c>
      <c r="AL60" s="10">
        <v>73320.526400000002</v>
      </c>
      <c r="AM60" s="14">
        <v>15</v>
      </c>
      <c r="AN60" s="14">
        <v>15</v>
      </c>
      <c r="AO60" s="14">
        <v>15</v>
      </c>
      <c r="AP60" s="14">
        <v>15</v>
      </c>
      <c r="AQ60" s="14">
        <v>15</v>
      </c>
      <c r="AR60" s="14">
        <v>15</v>
      </c>
      <c r="AS60" s="14">
        <v>15</v>
      </c>
      <c r="AT60" s="14">
        <v>15</v>
      </c>
      <c r="AU60" s="14">
        <v>15</v>
      </c>
      <c r="AV60" s="14">
        <v>15</v>
      </c>
      <c r="AW60" s="14">
        <v>15</v>
      </c>
      <c r="AX60" s="14">
        <v>15</v>
      </c>
    </row>
    <row r="61" spans="1:50" ht="20.100000000000001" customHeight="1">
      <c r="A61" s="1">
        <v>60</v>
      </c>
      <c r="B61" s="2" t="s">
        <v>58</v>
      </c>
      <c r="C61" s="10">
        <v>1306.8797</v>
      </c>
      <c r="D61" s="10">
        <v>2903.9953</v>
      </c>
      <c r="E61" s="10">
        <v>245.22450000000001</v>
      </c>
      <c r="F61" s="10">
        <v>1384.5107</v>
      </c>
      <c r="G61" s="10">
        <v>1542.4884</v>
      </c>
      <c r="H61" s="10"/>
      <c r="I61" s="10">
        <v>232.63521679799999</v>
      </c>
      <c r="J61" s="10">
        <v>516.92889838999997</v>
      </c>
      <c r="K61" s="10">
        <v>43.651464288</v>
      </c>
      <c r="L61" s="10">
        <v>251.281460522</v>
      </c>
      <c r="M61" s="10">
        <v>280.87721300200002</v>
      </c>
      <c r="N61" s="10"/>
      <c r="O61" s="7">
        <v>0.92549999999999999</v>
      </c>
      <c r="P61" s="7">
        <v>1.2221</v>
      </c>
      <c r="Q61" s="7">
        <v>-0.91559999999999997</v>
      </c>
      <c r="R61" s="7">
        <v>4.6459000000000001</v>
      </c>
      <c r="S61" s="7">
        <v>0.11409999999999999</v>
      </c>
      <c r="T61" s="7"/>
      <c r="U61" s="7">
        <v>1.1104000000000001</v>
      </c>
      <c r="V61" s="7">
        <v>1.2221</v>
      </c>
      <c r="W61" s="7">
        <v>-0.91559999999999997</v>
      </c>
      <c r="X61" s="7">
        <v>4.7565</v>
      </c>
      <c r="Y61" s="7">
        <v>0.1178</v>
      </c>
      <c r="Z61" s="7"/>
      <c r="AA61" s="10">
        <v>2411.6735217</v>
      </c>
      <c r="AB61" s="10">
        <v>6478.0448205000002</v>
      </c>
      <c r="AC61" s="10">
        <v>3453.1726522499998</v>
      </c>
      <c r="AD61" s="10">
        <v>2676.878025</v>
      </c>
      <c r="AE61" s="10">
        <v>3540.7633248000002</v>
      </c>
      <c r="AF61" s="10">
        <v>3192.7395792000002</v>
      </c>
      <c r="AG61" s="10">
        <v>3849.2410657</v>
      </c>
      <c r="AH61" s="10">
        <v>3289.8068978000001</v>
      </c>
      <c r="AI61" s="10">
        <v>2922.4172950000002</v>
      </c>
      <c r="AJ61" s="10">
        <v>3376.6333226500001</v>
      </c>
      <c r="AK61" s="10">
        <v>946.30934999999999</v>
      </c>
      <c r="AL61" s="10">
        <v>1429.3217817</v>
      </c>
      <c r="AM61" s="14">
        <v>55</v>
      </c>
      <c r="AN61" s="14">
        <v>60</v>
      </c>
      <c r="AO61" s="14">
        <v>65</v>
      </c>
      <c r="AP61" s="14">
        <v>70</v>
      </c>
      <c r="AQ61" s="14">
        <v>70</v>
      </c>
      <c r="AR61" s="14">
        <v>60</v>
      </c>
      <c r="AS61" s="14">
        <v>55</v>
      </c>
      <c r="AT61" s="14">
        <v>55</v>
      </c>
      <c r="AU61" s="14">
        <v>45</v>
      </c>
      <c r="AV61" s="14">
        <v>45</v>
      </c>
      <c r="AW61" s="14">
        <v>55</v>
      </c>
      <c r="AX61" s="14">
        <v>55</v>
      </c>
    </row>
    <row r="62" spans="1:50" ht="20.100000000000001" customHeight="1">
      <c r="A62" s="1">
        <v>61</v>
      </c>
      <c r="B62" s="2" t="s">
        <v>59</v>
      </c>
      <c r="C62" s="10">
        <v>3611.3604</v>
      </c>
      <c r="D62" s="10">
        <v>3544.4591</v>
      </c>
      <c r="E62" s="10">
        <v>3047.7498000000001</v>
      </c>
      <c r="F62" s="10">
        <v>4086.0743000000002</v>
      </c>
      <c r="G62" s="10">
        <v>3598.9837000000002</v>
      </c>
      <c r="H62" s="10">
        <v>0</v>
      </c>
      <c r="I62" s="10">
        <v>807.20611873899998</v>
      </c>
      <c r="J62" s="10">
        <v>830.26071767799999</v>
      </c>
      <c r="K62" s="10">
        <v>833.91060703300002</v>
      </c>
      <c r="L62" s="10">
        <v>957.12967950799998</v>
      </c>
      <c r="M62" s="10">
        <v>843.03268098000001</v>
      </c>
      <c r="N62" s="10"/>
      <c r="O62" s="7">
        <v>0.26679999999999998</v>
      </c>
      <c r="P62" s="7">
        <v>-1.8499999999999999E-2</v>
      </c>
      <c r="Q62" s="7">
        <v>-0.1401</v>
      </c>
      <c r="R62" s="7">
        <v>0.3407</v>
      </c>
      <c r="S62" s="7">
        <v>-0.1192</v>
      </c>
      <c r="T62" s="7"/>
      <c r="U62" s="7">
        <v>0.22520000000000001</v>
      </c>
      <c r="V62" s="7">
        <v>2.86E-2</v>
      </c>
      <c r="W62" s="7">
        <v>4.4000000000000003E-3</v>
      </c>
      <c r="X62" s="7">
        <v>0.14779999999999999</v>
      </c>
      <c r="Y62" s="7">
        <v>-0.1192</v>
      </c>
      <c r="Z62" s="7"/>
      <c r="AA62" s="10">
        <v>9343.0761005999993</v>
      </c>
      <c r="AB62" s="10">
        <v>11454.4272963</v>
      </c>
      <c r="AC62" s="10">
        <v>11267.0338027</v>
      </c>
      <c r="AD62" s="10">
        <v>11243.609616</v>
      </c>
      <c r="AE62" s="10">
        <v>11641.820789900001</v>
      </c>
      <c r="AF62" s="10">
        <v>10494.0356416</v>
      </c>
      <c r="AG62" s="10">
        <v>13234.6654855</v>
      </c>
      <c r="AH62" s="10">
        <v>14288.753887000001</v>
      </c>
      <c r="AI62" s="10">
        <v>13468.9073525</v>
      </c>
      <c r="AJ62" s="10">
        <v>20847.526162999999</v>
      </c>
      <c r="AK62" s="10">
        <v>6683.2051533000003</v>
      </c>
      <c r="AL62" s="10">
        <v>7107.8904306000004</v>
      </c>
      <c r="AM62" s="14">
        <v>20</v>
      </c>
      <c r="AN62" s="14">
        <v>14</v>
      </c>
      <c r="AO62" s="14">
        <v>30</v>
      </c>
      <c r="AP62" s="14">
        <v>15</v>
      </c>
      <c r="AQ62" s="14">
        <v>14</v>
      </c>
      <c r="AR62" s="14">
        <v>15</v>
      </c>
      <c r="AS62" s="14">
        <v>8</v>
      </c>
      <c r="AT62" s="14">
        <v>25</v>
      </c>
      <c r="AU62" s="14">
        <v>25</v>
      </c>
      <c r="AV62" s="14">
        <v>10</v>
      </c>
      <c r="AW62" s="14">
        <v>15</v>
      </c>
      <c r="AX62" s="14">
        <v>20</v>
      </c>
    </row>
    <row r="63" spans="1:50" ht="20.100000000000001" customHeight="1">
      <c r="A63" s="1">
        <v>62</v>
      </c>
      <c r="B63" s="2" t="s">
        <v>60</v>
      </c>
      <c r="C63" s="10">
        <v>2705.5650999999998</v>
      </c>
      <c r="D63" s="10">
        <v>2088.6008000000002</v>
      </c>
      <c r="E63" s="10">
        <v>1802.8030000000001</v>
      </c>
      <c r="F63" s="10">
        <v>1871.5771</v>
      </c>
      <c r="G63" s="10">
        <v>2378.2757999999999</v>
      </c>
      <c r="H63" s="10">
        <v>2290.0562</v>
      </c>
      <c r="I63" s="10">
        <v>383.30713978599999</v>
      </c>
      <c r="J63" s="10">
        <v>295.84809654899999</v>
      </c>
      <c r="K63" s="10">
        <v>255.756262185</v>
      </c>
      <c r="L63" s="10">
        <v>379.877264422</v>
      </c>
      <c r="M63" s="10">
        <v>383.08584171500002</v>
      </c>
      <c r="N63" s="10">
        <v>429.0614067468</v>
      </c>
      <c r="O63" s="7">
        <v>-0.1429</v>
      </c>
      <c r="P63" s="7">
        <v>-0.22800000000000001</v>
      </c>
      <c r="Q63" s="7">
        <v>-0.1368</v>
      </c>
      <c r="R63" s="7">
        <v>3.8100000000000002E-2</v>
      </c>
      <c r="S63" s="7">
        <v>0.2707</v>
      </c>
      <c r="T63" s="7">
        <v>-3.7100000000000001E-2</v>
      </c>
      <c r="U63" s="7">
        <v>8.3000000000000001E-3</v>
      </c>
      <c r="V63" s="7">
        <v>-0.22819999999999999</v>
      </c>
      <c r="W63" s="7">
        <v>-0.13550000000000001</v>
      </c>
      <c r="X63" s="7">
        <v>0.48530000000000001</v>
      </c>
      <c r="Y63" s="7">
        <v>8.3999999999999995E-3</v>
      </c>
      <c r="Z63" s="7">
        <v>0.12</v>
      </c>
      <c r="AA63" s="10">
        <v>8510.1261970840005</v>
      </c>
      <c r="AB63" s="10">
        <v>7562.8766707599998</v>
      </c>
      <c r="AC63" s="10">
        <v>5759.1984155959999</v>
      </c>
      <c r="AD63" s="10">
        <v>3000.822866685</v>
      </c>
      <c r="AE63" s="10">
        <v>4476.2603024640002</v>
      </c>
      <c r="AF63" s="10">
        <v>6904.9766983580002</v>
      </c>
      <c r="AG63" s="10">
        <v>10107.992485999999</v>
      </c>
      <c r="AH63" s="10">
        <v>16672.0984498</v>
      </c>
      <c r="AI63" s="10">
        <v>14370.398956000001</v>
      </c>
      <c r="AJ63" s="10">
        <v>13030.785494</v>
      </c>
      <c r="AK63" s="10">
        <v>8025.6993041280002</v>
      </c>
      <c r="AL63" s="10">
        <v>9000.7342198799997</v>
      </c>
      <c r="AM63" s="14">
        <v>40</v>
      </c>
      <c r="AN63" s="14">
        <v>40</v>
      </c>
      <c r="AO63" s="14">
        <v>40</v>
      </c>
      <c r="AP63" s="14">
        <v>40</v>
      </c>
      <c r="AQ63" s="14">
        <v>40</v>
      </c>
      <c r="AR63" s="14">
        <v>35</v>
      </c>
      <c r="AS63" s="14">
        <v>40</v>
      </c>
      <c r="AT63" s="14">
        <v>40</v>
      </c>
      <c r="AU63" s="14">
        <v>40</v>
      </c>
      <c r="AV63" s="14">
        <v>40</v>
      </c>
      <c r="AW63" s="14">
        <v>35</v>
      </c>
      <c r="AX63" s="14">
        <v>35</v>
      </c>
    </row>
    <row r="64" spans="1:50" ht="20.100000000000001" customHeight="1">
      <c r="A64" s="1">
        <v>63</v>
      </c>
      <c r="B64" s="2" t="s">
        <v>61</v>
      </c>
      <c r="C64" s="10">
        <v>589.22019999999998</v>
      </c>
      <c r="D64" s="10">
        <v>1212.8672999999999</v>
      </c>
      <c r="E64" s="10">
        <v>1290.9912999999999</v>
      </c>
      <c r="F64" s="10">
        <v>1147.2689</v>
      </c>
      <c r="G64" s="10">
        <v>911.90880000000004</v>
      </c>
      <c r="H64" s="10"/>
      <c r="I64" s="10">
        <v>72.831156039000007</v>
      </c>
      <c r="J64" s="10">
        <v>194.88958705300001</v>
      </c>
      <c r="K64" s="10">
        <v>227.22221541799999</v>
      </c>
      <c r="L64" s="10">
        <v>222.119288501</v>
      </c>
      <c r="M64" s="10">
        <v>176.551010179</v>
      </c>
      <c r="N64" s="10"/>
      <c r="O64" s="7">
        <v>-0.3725</v>
      </c>
      <c r="P64" s="7">
        <v>1.0584</v>
      </c>
      <c r="Q64" s="7">
        <v>6.4399999999999999E-2</v>
      </c>
      <c r="R64" s="7">
        <v>-0.1113</v>
      </c>
      <c r="S64" s="7">
        <v>-0.2051</v>
      </c>
      <c r="T64" s="7"/>
      <c r="U64" s="7">
        <v>-0.3725</v>
      </c>
      <c r="V64" s="7">
        <v>1.6758999999999999</v>
      </c>
      <c r="W64" s="7">
        <v>0.16589999999999999</v>
      </c>
      <c r="X64" s="7">
        <v>-2.2499999999999999E-2</v>
      </c>
      <c r="Y64" s="7">
        <v>-0.20519999999999999</v>
      </c>
      <c r="Z64" s="7"/>
      <c r="AA64" s="10">
        <v>1272.8142559999999</v>
      </c>
      <c r="AB64" s="10">
        <v>3640.1913519999998</v>
      </c>
      <c r="AC64" s="10">
        <v>2016.0861084000001</v>
      </c>
      <c r="AD64" s="10">
        <v>1355.2499345000001</v>
      </c>
      <c r="AE64" s="10">
        <v>1936.0713350000001</v>
      </c>
      <c r="AF64" s="10">
        <v>2420.0775625000001</v>
      </c>
      <c r="AG64" s="10">
        <v>2846.0112134999999</v>
      </c>
      <c r="AH64" s="10">
        <v>2574.9625265</v>
      </c>
      <c r="AI64" s="10">
        <v>1374.6040555</v>
      </c>
      <c r="AJ64" s="10">
        <v>1490.7677785000001</v>
      </c>
      <c r="AK64" s="10">
        <v>570.28691130000004</v>
      </c>
      <c r="AL64" s="10">
        <v>690.95631040000001</v>
      </c>
      <c r="AM64" s="14">
        <v>100</v>
      </c>
      <c r="AN64" s="14">
        <v>55</v>
      </c>
      <c r="AO64" s="14">
        <v>55</v>
      </c>
      <c r="AP64" s="14">
        <v>55</v>
      </c>
      <c r="AQ64" s="14">
        <v>60</v>
      </c>
      <c r="AR64" s="14">
        <v>60</v>
      </c>
      <c r="AS64" s="14">
        <v>60</v>
      </c>
      <c r="AT64" s="14">
        <v>65</v>
      </c>
      <c r="AU64" s="14">
        <v>65</v>
      </c>
      <c r="AV64" s="14">
        <v>65</v>
      </c>
      <c r="AW64" s="14">
        <v>100</v>
      </c>
      <c r="AX64" s="14">
        <v>100</v>
      </c>
    </row>
    <row r="65" spans="1:50" ht="20.100000000000001" customHeight="1">
      <c r="A65" s="1">
        <v>64</v>
      </c>
      <c r="B65" s="2" t="s">
        <v>62</v>
      </c>
      <c r="C65" s="10">
        <v>2977.8081999999999</v>
      </c>
      <c r="D65" s="10">
        <v>243.7817</v>
      </c>
      <c r="E65" s="10">
        <v>210.321</v>
      </c>
      <c r="F65" s="10">
        <v>1894.2231999999999</v>
      </c>
      <c r="G65" s="10">
        <v>3716.3551000000002</v>
      </c>
      <c r="H65" s="10">
        <v>6761.0740999999998</v>
      </c>
      <c r="I65" s="10">
        <v>334.37461561800001</v>
      </c>
      <c r="J65" s="10">
        <v>24.007379559</v>
      </c>
      <c r="K65" s="10">
        <v>20.712200279000001</v>
      </c>
      <c r="L65" s="10">
        <v>187.93913999399999</v>
      </c>
      <c r="M65" s="10">
        <v>371.37536082100002</v>
      </c>
      <c r="N65" s="10">
        <v>685.77575079890005</v>
      </c>
      <c r="O65" s="7">
        <v>-0.55149999999999999</v>
      </c>
      <c r="P65" s="7">
        <v>-0.91810000000000003</v>
      </c>
      <c r="Q65" s="7">
        <v>-0.13730000000000001</v>
      </c>
      <c r="R65" s="7">
        <v>8.0062999999999995</v>
      </c>
      <c r="S65" s="7">
        <v>0.96189999999999998</v>
      </c>
      <c r="T65" s="7">
        <v>0.81930000000000003</v>
      </c>
      <c r="U65" s="7">
        <v>-0.52959999999999996</v>
      </c>
      <c r="V65" s="7">
        <v>-0.92820000000000003</v>
      </c>
      <c r="W65" s="7">
        <v>-0.13730000000000001</v>
      </c>
      <c r="X65" s="7">
        <v>8.0738000000000003</v>
      </c>
      <c r="Y65" s="7">
        <v>0.97599999999999998</v>
      </c>
      <c r="Z65" s="7">
        <v>0.84660000000000002</v>
      </c>
      <c r="AA65" s="10">
        <v>4806.1536431000004</v>
      </c>
      <c r="AB65" s="10">
        <v>8087.6122935000003</v>
      </c>
      <c r="AC65" s="10">
        <v>3973.6396473999998</v>
      </c>
      <c r="AD65" s="10">
        <v>2429.9766617</v>
      </c>
      <c r="AE65" s="10">
        <v>5127.1423762000004</v>
      </c>
      <c r="AF65" s="10">
        <v>6826.1102671999997</v>
      </c>
      <c r="AG65" s="10">
        <v>7005.0939814000003</v>
      </c>
      <c r="AH65" s="10">
        <v>6865.1919618000002</v>
      </c>
      <c r="AI65" s="10">
        <v>8544.0161970000008</v>
      </c>
      <c r="AJ65" s="10">
        <v>8793.9822138</v>
      </c>
      <c r="AK65" s="10">
        <v>5309.9630808000002</v>
      </c>
      <c r="AL65" s="10">
        <v>5927.9329220999998</v>
      </c>
      <c r="AM65" s="14">
        <v>50</v>
      </c>
      <c r="AN65" s="14">
        <v>55</v>
      </c>
      <c r="AO65" s="14">
        <v>55</v>
      </c>
      <c r="AP65" s="14">
        <v>55</v>
      </c>
      <c r="AQ65" s="14">
        <v>55</v>
      </c>
      <c r="AR65" s="14">
        <v>55</v>
      </c>
      <c r="AS65" s="14">
        <v>55</v>
      </c>
      <c r="AT65" s="14">
        <v>55</v>
      </c>
      <c r="AU65" s="14">
        <v>55</v>
      </c>
      <c r="AV65" s="14">
        <v>55</v>
      </c>
      <c r="AW65" s="14">
        <v>45</v>
      </c>
      <c r="AX65" s="14">
        <v>50</v>
      </c>
    </row>
    <row r="66" spans="1:50" ht="20.100000000000001" customHeight="1">
      <c r="A66" s="1">
        <v>65</v>
      </c>
      <c r="B66" s="2" t="s">
        <v>63</v>
      </c>
      <c r="C66" s="10"/>
      <c r="D66" s="10"/>
      <c r="E66" s="10"/>
      <c r="F66" s="10">
        <v>0</v>
      </c>
      <c r="G66" s="10">
        <v>0</v>
      </c>
      <c r="H66" s="10"/>
      <c r="I66" s="10"/>
      <c r="J66" s="10"/>
      <c r="K66" s="10"/>
      <c r="L66" s="10">
        <v>-545.45622998099998</v>
      </c>
      <c r="M66" s="10">
        <v>351.32687797199998</v>
      </c>
      <c r="N66" s="10"/>
      <c r="O66" s="7"/>
      <c r="P66" s="7"/>
      <c r="Q66" s="7"/>
      <c r="R66" s="7">
        <v>0</v>
      </c>
      <c r="S66" s="7">
        <v>0</v>
      </c>
      <c r="T66" s="7"/>
      <c r="U66" s="7"/>
      <c r="V66" s="7"/>
      <c r="W66" s="7"/>
      <c r="X66" s="7">
        <v>0</v>
      </c>
      <c r="Y66" s="7"/>
      <c r="Z66" s="7"/>
      <c r="AA66" s="10"/>
      <c r="AB66" s="10"/>
      <c r="AC66" s="10"/>
      <c r="AD66" s="10"/>
      <c r="AE66" s="10"/>
      <c r="AF66" s="10"/>
      <c r="AG66" s="10"/>
      <c r="AH66" s="10"/>
      <c r="AI66" s="10"/>
      <c r="AJ66" s="10">
        <v>9003.8898080119998</v>
      </c>
      <c r="AK66" s="10"/>
      <c r="AL66" s="10"/>
      <c r="AM66" s="14">
        <v>100</v>
      </c>
      <c r="AN66" s="14">
        <v>100</v>
      </c>
      <c r="AO66" s="14">
        <v>100</v>
      </c>
      <c r="AP66" s="14">
        <v>100</v>
      </c>
      <c r="AQ66" s="14">
        <v>100</v>
      </c>
      <c r="AR66" s="14">
        <v>100</v>
      </c>
      <c r="AS66" s="14">
        <v>100</v>
      </c>
      <c r="AT66" s="14">
        <v>100</v>
      </c>
      <c r="AU66" s="14">
        <v>100</v>
      </c>
      <c r="AV66" s="14">
        <v>25</v>
      </c>
      <c r="AW66" s="14">
        <v>100</v>
      </c>
      <c r="AX66" s="14">
        <v>100</v>
      </c>
    </row>
    <row r="67" spans="1:50" ht="20.100000000000001" customHeight="1">
      <c r="A67" s="1">
        <v>66</v>
      </c>
      <c r="B67" s="2" t="s">
        <v>64</v>
      </c>
      <c r="C67" s="10">
        <v>-1337.5576000000001</v>
      </c>
      <c r="D67" s="10">
        <v>3502.1705999999999</v>
      </c>
      <c r="E67" s="10">
        <v>3485.3002000000001</v>
      </c>
      <c r="F67" s="10">
        <v>1109.7940000000001</v>
      </c>
      <c r="G67" s="10">
        <v>2394.6804999999999</v>
      </c>
      <c r="H67" s="10">
        <v>1677.7212999999999</v>
      </c>
      <c r="I67" s="10">
        <v>-187.25806818500001</v>
      </c>
      <c r="J67" s="10">
        <v>490.30389098799998</v>
      </c>
      <c r="K67" s="10">
        <v>487.942030923</v>
      </c>
      <c r="L67" s="10">
        <v>155.37116644299999</v>
      </c>
      <c r="M67" s="10">
        <v>335.25526780799999</v>
      </c>
      <c r="N67" s="10">
        <v>234.88097813549999</v>
      </c>
      <c r="O67" s="7"/>
      <c r="P67" s="7"/>
      <c r="Q67" s="7">
        <v>-4.7999999999999996E-3</v>
      </c>
      <c r="R67" s="7">
        <v>-0.68159999999999998</v>
      </c>
      <c r="S67" s="7">
        <v>1.1577999999999999</v>
      </c>
      <c r="T67" s="7">
        <v>-0.2994</v>
      </c>
      <c r="U67" s="7"/>
      <c r="V67" s="7"/>
      <c r="W67" s="7">
        <v>-4.7999999999999996E-3</v>
      </c>
      <c r="X67" s="7">
        <v>-0.68159999999999998</v>
      </c>
      <c r="Y67" s="7">
        <v>1.1577999999999999</v>
      </c>
      <c r="Z67" s="7">
        <v>-0.2994</v>
      </c>
      <c r="AA67" s="10">
        <v>1040.2</v>
      </c>
      <c r="AB67" s="10">
        <v>2660</v>
      </c>
      <c r="AC67" s="10">
        <v>2422</v>
      </c>
      <c r="AD67" s="10">
        <v>1638</v>
      </c>
      <c r="AE67" s="10">
        <v>1771</v>
      </c>
      <c r="AF67" s="10">
        <v>1596</v>
      </c>
      <c r="AG67" s="10">
        <v>2625</v>
      </c>
      <c r="AH67" s="10">
        <v>2380</v>
      </c>
      <c r="AI67" s="10">
        <v>2044</v>
      </c>
      <c r="AJ67" s="10">
        <v>1820</v>
      </c>
      <c r="AK67" s="10">
        <v>198.8</v>
      </c>
      <c r="AL67" s="10">
        <v>322</v>
      </c>
      <c r="AM67" s="14">
        <v>49</v>
      </c>
      <c r="AN67" s="14">
        <v>49</v>
      </c>
      <c r="AO67" s="14">
        <v>40</v>
      </c>
      <c r="AP67" s="14">
        <v>50</v>
      </c>
      <c r="AQ67" s="14">
        <v>50</v>
      </c>
      <c r="AR67" s="14">
        <v>50</v>
      </c>
      <c r="AS67" s="14">
        <v>50</v>
      </c>
      <c r="AT67" s="14">
        <v>50</v>
      </c>
      <c r="AU67" s="14">
        <v>50</v>
      </c>
      <c r="AV67" s="14">
        <v>50</v>
      </c>
      <c r="AW67" s="14">
        <v>40</v>
      </c>
      <c r="AX67" s="14">
        <v>40</v>
      </c>
    </row>
    <row r="68" spans="1:50" ht="20.100000000000001" customHeight="1">
      <c r="A68" s="1">
        <v>67</v>
      </c>
      <c r="B68" s="2" t="s">
        <v>65</v>
      </c>
      <c r="C68" s="10">
        <v>2595.6376</v>
      </c>
      <c r="D68" s="10">
        <v>1704.3317</v>
      </c>
      <c r="E68" s="10">
        <v>647.80309999999997</v>
      </c>
      <c r="F68" s="10">
        <v>736.98140000000001</v>
      </c>
      <c r="G68" s="10">
        <v>254.76570000000001</v>
      </c>
      <c r="H68" s="10"/>
      <c r="I68" s="10">
        <v>170.118089578</v>
      </c>
      <c r="J68" s="10">
        <v>111.701896917</v>
      </c>
      <c r="K68" s="10">
        <v>115.961288861</v>
      </c>
      <c r="L68" s="10">
        <v>156.602643769</v>
      </c>
      <c r="M68" s="10">
        <v>54.135679570000001</v>
      </c>
      <c r="N68" s="10"/>
      <c r="O68" s="7">
        <v>0.86699999999999999</v>
      </c>
      <c r="P68" s="7">
        <v>-0.34339999999999998</v>
      </c>
      <c r="Q68" s="7">
        <v>-0.61990000000000001</v>
      </c>
      <c r="R68" s="7">
        <v>0.13769999999999999</v>
      </c>
      <c r="S68" s="7">
        <v>-0.65429999999999999</v>
      </c>
      <c r="T68" s="7"/>
      <c r="U68" s="7">
        <v>0.86699999999999999</v>
      </c>
      <c r="V68" s="7">
        <v>-0.34339999999999998</v>
      </c>
      <c r="W68" s="7">
        <v>3.8100000000000002E-2</v>
      </c>
      <c r="X68" s="7">
        <v>0.35049999999999998</v>
      </c>
      <c r="Y68" s="7">
        <v>-0.65429999999999999</v>
      </c>
      <c r="Z68" s="7"/>
      <c r="AA68" s="10">
        <v>1982.5703189999999</v>
      </c>
      <c r="AB68" s="10">
        <v>2141.7741420000002</v>
      </c>
      <c r="AC68" s="10">
        <v>3381.7766066059999</v>
      </c>
      <c r="AD68" s="10">
        <v>2671.5380276730002</v>
      </c>
      <c r="AE68" s="10">
        <v>2909.3757464129999</v>
      </c>
      <c r="AF68" s="10">
        <v>3289.37013828</v>
      </c>
      <c r="AG68" s="10">
        <v>4228.3705672890001</v>
      </c>
      <c r="AH68" s="10">
        <v>3716.6907680009999</v>
      </c>
      <c r="AI68" s="10">
        <v>3286.6077473370001</v>
      </c>
      <c r="AJ68" s="10">
        <v>2982.9572352179998</v>
      </c>
      <c r="AK68" s="10">
        <v>1927.230742</v>
      </c>
      <c r="AL68" s="10">
        <v>2381.0531339999998</v>
      </c>
      <c r="AM68" s="14">
        <v>100</v>
      </c>
      <c r="AN68" s="14">
        <v>10</v>
      </c>
      <c r="AO68" s="14">
        <v>10</v>
      </c>
      <c r="AP68" s="14">
        <v>35</v>
      </c>
      <c r="AQ68" s="14">
        <v>35</v>
      </c>
      <c r="AR68" s="14">
        <v>35</v>
      </c>
      <c r="AS68" s="14">
        <v>35</v>
      </c>
      <c r="AT68" s="14">
        <v>35</v>
      </c>
      <c r="AU68" s="14">
        <v>35</v>
      </c>
      <c r="AV68" s="14">
        <v>35</v>
      </c>
      <c r="AW68" s="14">
        <v>100</v>
      </c>
      <c r="AX68" s="14">
        <v>100</v>
      </c>
    </row>
    <row r="69" spans="1:50" ht="20.100000000000001" customHeight="1">
      <c r="A69" s="1">
        <v>68</v>
      </c>
      <c r="B69" s="2" t="s">
        <v>66</v>
      </c>
      <c r="C69" s="10">
        <v>100.30540000000001</v>
      </c>
      <c r="D69" s="10">
        <v>443.17169999999999</v>
      </c>
      <c r="E69" s="10">
        <v>586.42629999999997</v>
      </c>
      <c r="F69" s="10">
        <v>1126.4177</v>
      </c>
      <c r="G69" s="10">
        <v>523.09630000000004</v>
      </c>
      <c r="H69" s="10"/>
      <c r="I69" s="10">
        <v>13.852076521000001</v>
      </c>
      <c r="J69" s="10">
        <v>61.201564306000002</v>
      </c>
      <c r="K69" s="10">
        <v>73.392430232999999</v>
      </c>
      <c r="L69" s="10">
        <v>140.97230480299999</v>
      </c>
      <c r="M69" s="10">
        <v>65.466028666</v>
      </c>
      <c r="N69" s="10"/>
      <c r="O69" s="7">
        <v>-0.85260000000000002</v>
      </c>
      <c r="P69" s="7">
        <v>3.4182000000000001</v>
      </c>
      <c r="Q69" s="7">
        <v>0.32319999999999999</v>
      </c>
      <c r="R69" s="7">
        <v>0.92079999999999995</v>
      </c>
      <c r="S69" s="7">
        <v>-0.53559999999999997</v>
      </c>
      <c r="T69" s="7"/>
      <c r="U69" s="7">
        <v>-0.72450000000000003</v>
      </c>
      <c r="V69" s="7">
        <v>3.4182000000000001</v>
      </c>
      <c r="W69" s="7">
        <v>0.19919999999999999</v>
      </c>
      <c r="X69" s="7">
        <v>0.92079999999999995</v>
      </c>
      <c r="Y69" s="7">
        <v>-0.53559999999999997</v>
      </c>
      <c r="Z69" s="7"/>
      <c r="AA69" s="10">
        <v>1238.6175326</v>
      </c>
      <c r="AB69" s="10">
        <v>3855.0436295999998</v>
      </c>
      <c r="AC69" s="10">
        <v>2959.7648663999998</v>
      </c>
      <c r="AD69" s="10">
        <v>2816.1142227999999</v>
      </c>
      <c r="AE69" s="10">
        <v>2882.9593380000001</v>
      </c>
      <c r="AF69" s="10">
        <v>2737.6838509999998</v>
      </c>
      <c r="AG69" s="10">
        <v>3229.3495222000001</v>
      </c>
      <c r="AH69" s="10">
        <v>3441.6508224999998</v>
      </c>
      <c r="AI69" s="10">
        <v>3529.2564797999999</v>
      </c>
      <c r="AJ69" s="10">
        <v>3724.1092434000002</v>
      </c>
      <c r="AK69" s="10">
        <v>964.04714360000003</v>
      </c>
      <c r="AL69" s="10">
        <v>1025.0627856000001</v>
      </c>
      <c r="AM69" s="14">
        <v>100</v>
      </c>
      <c r="AN69" s="14">
        <v>50</v>
      </c>
      <c r="AO69" s="14">
        <v>50</v>
      </c>
      <c r="AP69" s="14">
        <v>50</v>
      </c>
      <c r="AQ69" s="14">
        <v>50</v>
      </c>
      <c r="AR69" s="14">
        <v>50</v>
      </c>
      <c r="AS69" s="14">
        <v>50</v>
      </c>
      <c r="AT69" s="14">
        <v>50</v>
      </c>
      <c r="AU69" s="14">
        <v>50</v>
      </c>
      <c r="AV69" s="14">
        <v>50</v>
      </c>
      <c r="AW69" s="14">
        <v>100</v>
      </c>
      <c r="AX69" s="14">
        <v>100</v>
      </c>
    </row>
    <row r="70" spans="1:50" ht="20.100000000000001" customHeight="1">
      <c r="A70" s="1">
        <v>69</v>
      </c>
      <c r="B70" s="2" t="s">
        <v>67</v>
      </c>
      <c r="C70" s="10">
        <v>0</v>
      </c>
      <c r="D70" s="10">
        <v>1199.1387</v>
      </c>
      <c r="E70" s="10">
        <v>1181.0861</v>
      </c>
      <c r="F70" s="10">
        <v>891.59050000000002</v>
      </c>
      <c r="G70" s="10">
        <v>273.09410000000003</v>
      </c>
      <c r="H70" s="10"/>
      <c r="I70" s="10">
        <v>108.969174901</v>
      </c>
      <c r="J70" s="10">
        <v>142.724369002</v>
      </c>
      <c r="K70" s="10">
        <v>140.57570220100001</v>
      </c>
      <c r="L70" s="10">
        <v>139.29394846700001</v>
      </c>
      <c r="M70" s="10">
        <v>45.281306907999998</v>
      </c>
      <c r="N70" s="10"/>
      <c r="O70" s="7">
        <v>0</v>
      </c>
      <c r="P70" s="7">
        <v>0</v>
      </c>
      <c r="Q70" s="7">
        <v>-1.5100000000000001E-2</v>
      </c>
      <c r="R70" s="7">
        <v>-0.24510000000000001</v>
      </c>
      <c r="S70" s="7">
        <v>-0.69369999999999998</v>
      </c>
      <c r="T70" s="7"/>
      <c r="U70" s="7">
        <v>0.22670000000000001</v>
      </c>
      <c r="V70" s="7">
        <v>0.30980000000000002</v>
      </c>
      <c r="W70" s="7">
        <v>-1.5100000000000001E-2</v>
      </c>
      <c r="X70" s="7">
        <v>-9.1000000000000004E-3</v>
      </c>
      <c r="Y70" s="7">
        <v>-0.67490000000000006</v>
      </c>
      <c r="Z70" s="7"/>
      <c r="AA70" s="10">
        <v>1226.325</v>
      </c>
      <c r="AB70" s="10">
        <v>2261.75</v>
      </c>
      <c r="AC70" s="10">
        <v>2126.874918</v>
      </c>
      <c r="AD70" s="10">
        <v>1813.0311801</v>
      </c>
      <c r="AE70" s="10">
        <v>2579.0270089999999</v>
      </c>
      <c r="AF70" s="10">
        <v>2055.0088845</v>
      </c>
      <c r="AG70" s="10">
        <v>2677.2422940000001</v>
      </c>
      <c r="AH70" s="10">
        <v>2645.7263045</v>
      </c>
      <c r="AI70" s="10">
        <v>2334.9589740000001</v>
      </c>
      <c r="AJ70" s="10">
        <v>2038.7488989000001</v>
      </c>
      <c r="AK70" s="10"/>
      <c r="AL70" s="10"/>
      <c r="AM70" s="14">
        <v>99</v>
      </c>
      <c r="AN70" s="14">
        <v>68</v>
      </c>
      <c r="AO70" s="14">
        <v>75</v>
      </c>
      <c r="AP70" s="14">
        <v>80</v>
      </c>
      <c r="AQ70" s="14">
        <v>75</v>
      </c>
      <c r="AR70" s="14">
        <v>75</v>
      </c>
      <c r="AS70" s="14">
        <v>75</v>
      </c>
      <c r="AT70" s="14">
        <v>75</v>
      </c>
      <c r="AU70" s="14">
        <v>70</v>
      </c>
      <c r="AV70" s="14">
        <v>75</v>
      </c>
      <c r="AW70" s="14">
        <v>100</v>
      </c>
      <c r="AX70" s="14">
        <v>100</v>
      </c>
    </row>
    <row r="71" spans="1:50" ht="20.100000000000001" customHeight="1">
      <c r="A71" s="1">
        <v>70</v>
      </c>
      <c r="B71" s="2" t="s">
        <v>68</v>
      </c>
      <c r="C71" s="10">
        <v>218.40280000000001</v>
      </c>
      <c r="D71" s="10">
        <v>1331.7973999999999</v>
      </c>
      <c r="E71" s="10">
        <v>941.47360000000003</v>
      </c>
      <c r="F71" s="10">
        <v>992.41489999999999</v>
      </c>
      <c r="G71" s="10">
        <v>1534.4718</v>
      </c>
      <c r="H71" s="10">
        <v>2074.7964000000002</v>
      </c>
      <c r="I71" s="10">
        <v>126.318</v>
      </c>
      <c r="J71" s="10">
        <v>770.27300000000002</v>
      </c>
      <c r="K71" s="10">
        <v>544.52099999999996</v>
      </c>
      <c r="L71" s="10">
        <v>573.98400000000004</v>
      </c>
      <c r="M71" s="10">
        <v>887.49400000000003</v>
      </c>
      <c r="N71" s="10">
        <v>1200</v>
      </c>
      <c r="O71" s="7">
        <v>0.86660000000000004</v>
      </c>
      <c r="P71" s="7">
        <v>5.0979000000000001</v>
      </c>
      <c r="Q71" s="7">
        <v>-0.29310000000000003</v>
      </c>
      <c r="R71" s="7">
        <v>5.4100000000000002E-2</v>
      </c>
      <c r="S71" s="7">
        <v>0.54620000000000002</v>
      </c>
      <c r="T71" s="7">
        <v>0.35210000000000002</v>
      </c>
      <c r="U71" s="7">
        <v>0.86660000000000004</v>
      </c>
      <c r="V71" s="7">
        <v>5.0979000000000001</v>
      </c>
      <c r="W71" s="7">
        <v>-0.29310000000000003</v>
      </c>
      <c r="X71" s="7">
        <v>5.4100000000000002E-2</v>
      </c>
      <c r="Y71" s="7">
        <v>0.54620000000000002</v>
      </c>
      <c r="Z71" s="7">
        <v>0.35210000000000002</v>
      </c>
      <c r="AA71" s="10">
        <v>8406.2217272880007</v>
      </c>
      <c r="AB71" s="10">
        <v>8948.8453717680004</v>
      </c>
      <c r="AC71" s="10">
        <v>9015.3580373200002</v>
      </c>
      <c r="AD71" s="10">
        <v>4370.6773868979999</v>
      </c>
      <c r="AE71" s="10">
        <v>4899.8868562899997</v>
      </c>
      <c r="AF71" s="10">
        <v>4171.5008721200002</v>
      </c>
      <c r="AG71" s="10">
        <v>4412.6092847460004</v>
      </c>
      <c r="AH71" s="10">
        <v>4123.7852642239995</v>
      </c>
      <c r="AI71" s="10">
        <v>6338.58473073</v>
      </c>
      <c r="AJ71" s="10">
        <v>8948.5487782719993</v>
      </c>
      <c r="AK71" s="10">
        <v>3094.6719305040001</v>
      </c>
      <c r="AL71" s="10">
        <v>6102.0123087000002</v>
      </c>
      <c r="AM71" s="14">
        <v>100</v>
      </c>
      <c r="AN71" s="14">
        <v>85</v>
      </c>
      <c r="AO71" s="14">
        <v>80</v>
      </c>
      <c r="AP71" s="14">
        <v>90</v>
      </c>
      <c r="AQ71" s="14">
        <v>90</v>
      </c>
      <c r="AR71" s="14">
        <v>95</v>
      </c>
      <c r="AS71" s="14">
        <v>95</v>
      </c>
      <c r="AT71" s="14">
        <v>95</v>
      </c>
      <c r="AU71" s="14">
        <v>100</v>
      </c>
      <c r="AV71" s="14">
        <v>100</v>
      </c>
      <c r="AW71" s="14">
        <v>100</v>
      </c>
      <c r="AX71" s="14">
        <v>100</v>
      </c>
    </row>
    <row r="72" spans="1:50" ht="20.100000000000001" customHeight="1">
      <c r="A72" s="1">
        <v>71</v>
      </c>
      <c r="B72" s="2" t="s">
        <v>69</v>
      </c>
      <c r="C72" s="10">
        <v>183.82040000000001</v>
      </c>
      <c r="D72" s="10">
        <v>-120.45059999999999</v>
      </c>
      <c r="E72" s="10">
        <v>274.0206</v>
      </c>
      <c r="F72" s="10">
        <v>204.52090000000001</v>
      </c>
      <c r="G72" s="10">
        <v>1848.3978999999999</v>
      </c>
      <c r="H72" s="10">
        <v>2345.9792000000002</v>
      </c>
      <c r="I72" s="10">
        <v>559.51469378800005</v>
      </c>
      <c r="J72" s="10">
        <v>-366.62890485299999</v>
      </c>
      <c r="K72" s="10">
        <v>834.06706622399997</v>
      </c>
      <c r="L72" s="10">
        <v>622.52308346899997</v>
      </c>
      <c r="M72" s="10">
        <v>5626.1743332899996</v>
      </c>
      <c r="N72" s="10">
        <v>7140.7172386380998</v>
      </c>
      <c r="O72" s="7"/>
      <c r="P72" s="7"/>
      <c r="Q72" s="7"/>
      <c r="R72" s="7">
        <v>-0.25359999999999999</v>
      </c>
      <c r="S72" s="7">
        <v>8.0376999999999992</v>
      </c>
      <c r="T72" s="7">
        <v>0.26919999999999999</v>
      </c>
      <c r="U72" s="7"/>
      <c r="V72" s="7"/>
      <c r="W72" s="7"/>
      <c r="X72" s="7">
        <v>-0.25359999999999999</v>
      </c>
      <c r="Y72" s="7">
        <v>8.0376999999999992</v>
      </c>
      <c r="Z72" s="7">
        <v>0.26919999999999999</v>
      </c>
      <c r="AA72" s="10">
        <v>99486.969072000007</v>
      </c>
      <c r="AB72" s="10">
        <v>99605.677708799994</v>
      </c>
      <c r="AC72" s="10">
        <v>74186.810377600006</v>
      </c>
      <c r="AD72" s="10">
        <v>60949.275468799999</v>
      </c>
      <c r="AE72" s="10">
        <v>71523.475577599995</v>
      </c>
      <c r="AF72" s="10">
        <v>78929.068227199998</v>
      </c>
      <c r="AG72" s="10">
        <v>316635.5038912</v>
      </c>
      <c r="AH72" s="10">
        <v>277412.95276800002</v>
      </c>
      <c r="AI72" s="10">
        <v>227214.4184576</v>
      </c>
      <c r="AJ72" s="10">
        <v>239398.79469119999</v>
      </c>
      <c r="AK72" s="10">
        <v>82103.7633088</v>
      </c>
      <c r="AL72" s="10">
        <v>101468.4901632</v>
      </c>
      <c r="AM72" s="14">
        <v>100</v>
      </c>
      <c r="AN72" s="14">
        <v>1.3193999999999999</v>
      </c>
      <c r="AO72" s="14">
        <v>1.3193999999999999</v>
      </c>
      <c r="AP72" s="14">
        <v>1</v>
      </c>
      <c r="AQ72" s="14">
        <v>0.97270000000000001</v>
      </c>
      <c r="AR72" s="14">
        <v>0.97270000000000001</v>
      </c>
      <c r="AS72" s="14">
        <v>0.97</v>
      </c>
      <c r="AT72" s="14">
        <v>0.97</v>
      </c>
      <c r="AU72" s="14">
        <v>0.97</v>
      </c>
      <c r="AV72" s="14">
        <v>0.97</v>
      </c>
      <c r="AW72" s="14">
        <v>100</v>
      </c>
      <c r="AX72" s="14">
        <v>100</v>
      </c>
    </row>
    <row r="73" spans="1:50" ht="20.100000000000001" customHeight="1">
      <c r="A73" s="1">
        <v>72</v>
      </c>
      <c r="B73" s="2" t="s">
        <v>70</v>
      </c>
      <c r="C73" s="10">
        <v>746.76239999999996</v>
      </c>
      <c r="D73" s="10">
        <v>2164.0551999999998</v>
      </c>
      <c r="E73" s="10">
        <v>1300.1420000000001</v>
      </c>
      <c r="F73" s="10">
        <v>494.05930000000001</v>
      </c>
      <c r="G73" s="10">
        <v>128.74359999999999</v>
      </c>
      <c r="H73" s="10">
        <v>541.83130000000006</v>
      </c>
      <c r="I73" s="10">
        <v>203.73320126199999</v>
      </c>
      <c r="J73" s="10">
        <v>590.40186987799996</v>
      </c>
      <c r="K73" s="10">
        <v>362.60049716399999</v>
      </c>
      <c r="L73" s="10">
        <v>143.18133782199999</v>
      </c>
      <c r="M73" s="10">
        <v>37.310662846</v>
      </c>
      <c r="N73" s="10">
        <v>157.02595945249999</v>
      </c>
      <c r="O73" s="7">
        <v>0.2311</v>
      </c>
      <c r="P73" s="7">
        <v>1.8978999999999999</v>
      </c>
      <c r="Q73" s="7">
        <v>-0.3992</v>
      </c>
      <c r="R73" s="7">
        <v>-0.62</v>
      </c>
      <c r="S73" s="7">
        <v>-0.73939999999999995</v>
      </c>
      <c r="T73" s="7">
        <v>3.2086000000000001</v>
      </c>
      <c r="U73" s="7">
        <v>0.36930000000000002</v>
      </c>
      <c r="V73" s="7">
        <v>1.8978999999999999</v>
      </c>
      <c r="W73" s="7">
        <v>-0.38579999999999998</v>
      </c>
      <c r="X73" s="7">
        <v>-0.60509999999999997</v>
      </c>
      <c r="Y73" s="7">
        <v>-0.73939999999999995</v>
      </c>
      <c r="Z73" s="7">
        <v>3.2086000000000001</v>
      </c>
      <c r="AA73" s="10">
        <v>14136.694380000001</v>
      </c>
      <c r="AB73" s="10">
        <v>13587.696540000001</v>
      </c>
      <c r="AC73" s="10">
        <v>16330.398249</v>
      </c>
      <c r="AD73" s="10">
        <v>16719.560649999999</v>
      </c>
      <c r="AE73" s="10">
        <v>16102.223026</v>
      </c>
      <c r="AF73" s="10">
        <v>16839.205109999999</v>
      </c>
      <c r="AG73" s="10">
        <v>15939.347379999999</v>
      </c>
      <c r="AH73" s="10">
        <v>16924.688854399999</v>
      </c>
      <c r="AI73" s="10">
        <v>16663.863170000001</v>
      </c>
      <c r="AJ73" s="10">
        <v>15272.792853200001</v>
      </c>
      <c r="AK73" s="10">
        <v>5840.7764043999996</v>
      </c>
      <c r="AL73" s="10">
        <v>8463.7167000000009</v>
      </c>
      <c r="AM73" s="14">
        <v>50</v>
      </c>
      <c r="AN73" s="14">
        <v>60</v>
      </c>
      <c r="AO73" s="14">
        <v>55</v>
      </c>
      <c r="AP73" s="14">
        <v>55</v>
      </c>
      <c r="AQ73" s="14">
        <v>60</v>
      </c>
      <c r="AR73" s="14">
        <v>55</v>
      </c>
      <c r="AS73" s="14">
        <v>60</v>
      </c>
      <c r="AT73" s="14">
        <v>50</v>
      </c>
      <c r="AU73" s="14">
        <v>40</v>
      </c>
      <c r="AV73" s="14">
        <v>30</v>
      </c>
      <c r="AW73" s="14">
        <v>60</v>
      </c>
      <c r="AX73" s="14">
        <v>50</v>
      </c>
    </row>
    <row r="74" spans="1:50" ht="20.100000000000001" customHeight="1">
      <c r="A74" s="1">
        <v>73</v>
      </c>
      <c r="B74" s="2" t="s">
        <v>71</v>
      </c>
      <c r="C74" s="10">
        <v>4328.5778</v>
      </c>
      <c r="D74" s="10">
        <v>2564.3386</v>
      </c>
      <c r="E74" s="10">
        <v>-7.6311</v>
      </c>
      <c r="F74" s="10">
        <v>77.302800000000005</v>
      </c>
      <c r="G74" s="10">
        <v>1884.2365</v>
      </c>
      <c r="H74" s="10">
        <v>3939.1412999999998</v>
      </c>
      <c r="I74" s="10">
        <v>1400.2960323279999</v>
      </c>
      <c r="J74" s="10">
        <v>829.55793444599999</v>
      </c>
      <c r="K74" s="10">
        <v>5.1945870970000003</v>
      </c>
      <c r="L74" s="10">
        <v>25.007194214999998</v>
      </c>
      <c r="M74" s="10">
        <v>769.08375245499997</v>
      </c>
      <c r="N74" s="10">
        <v>1607.6834398586</v>
      </c>
      <c r="O74" s="7">
        <v>3.5891999999999999</v>
      </c>
      <c r="P74" s="7">
        <v>-0.40760000000000002</v>
      </c>
      <c r="Q74" s="7"/>
      <c r="R74" s="7"/>
      <c r="S74" s="7">
        <v>23.3748</v>
      </c>
      <c r="T74" s="7">
        <v>1.0906</v>
      </c>
      <c r="U74" s="7">
        <v>3.5891999999999999</v>
      </c>
      <c r="V74" s="7">
        <v>-0.40760000000000002</v>
      </c>
      <c r="W74" s="7">
        <v>-0.99370000000000003</v>
      </c>
      <c r="X74" s="7">
        <v>3.8140999999999998</v>
      </c>
      <c r="Y74" s="7">
        <v>29.7545</v>
      </c>
      <c r="Z74" s="7">
        <v>1.0904</v>
      </c>
      <c r="AA74" s="10">
        <v>7271.6080330000004</v>
      </c>
      <c r="AB74" s="10">
        <v>8412.4783900000002</v>
      </c>
      <c r="AC74" s="10">
        <v>4743.2364363999995</v>
      </c>
      <c r="AD74" s="10">
        <v>3412.2262119000002</v>
      </c>
      <c r="AE74" s="10">
        <v>5154.6395966999999</v>
      </c>
      <c r="AF74" s="10">
        <v>6630.8509365999998</v>
      </c>
      <c r="AG74" s="10">
        <v>8228.0632060000007</v>
      </c>
      <c r="AH74" s="10">
        <v>9287.0687737499993</v>
      </c>
      <c r="AI74" s="10">
        <v>11378.75093</v>
      </c>
      <c r="AJ74" s="10">
        <v>10468.3733424</v>
      </c>
      <c r="AK74" s="10">
        <v>4651.5176484000003</v>
      </c>
      <c r="AL74" s="10">
        <v>5940.1137537000004</v>
      </c>
      <c r="AM74" s="14">
        <v>75</v>
      </c>
      <c r="AN74" s="14">
        <v>65</v>
      </c>
      <c r="AO74" s="14">
        <v>65</v>
      </c>
      <c r="AP74" s="14">
        <v>70</v>
      </c>
      <c r="AQ74" s="14">
        <v>70</v>
      </c>
      <c r="AR74" s="14">
        <v>70</v>
      </c>
      <c r="AS74" s="14">
        <v>75</v>
      </c>
      <c r="AT74" s="14">
        <v>70</v>
      </c>
      <c r="AU74" s="14">
        <v>65</v>
      </c>
      <c r="AV74" s="14">
        <v>70</v>
      </c>
      <c r="AW74" s="14">
        <v>100</v>
      </c>
      <c r="AX74" s="14">
        <v>70</v>
      </c>
    </row>
    <row r="75" spans="1:50" ht="20.100000000000001" customHeight="1">
      <c r="A75" s="1">
        <v>74</v>
      </c>
      <c r="B75" s="2" t="s">
        <v>72</v>
      </c>
      <c r="C75" s="10">
        <v>39.713799999999999</v>
      </c>
      <c r="D75" s="10">
        <v>119.8998</v>
      </c>
      <c r="E75" s="10">
        <v>161.36590000000001</v>
      </c>
      <c r="F75" s="10">
        <v>404.85090000000002</v>
      </c>
      <c r="G75" s="10">
        <v>596.96130000000005</v>
      </c>
      <c r="H75" s="10"/>
      <c r="I75" s="10">
        <v>0.493902334</v>
      </c>
      <c r="J75" s="10">
        <v>24.852325759999999</v>
      </c>
      <c r="K75" s="10">
        <v>33.447233812999997</v>
      </c>
      <c r="L75" s="10">
        <v>119.91678831199999</v>
      </c>
      <c r="M75" s="10">
        <v>176.81985231600001</v>
      </c>
      <c r="N75" s="10"/>
      <c r="O75" s="7"/>
      <c r="P75" s="7">
        <v>2.0190999999999999</v>
      </c>
      <c r="Q75" s="7">
        <v>0.3458</v>
      </c>
      <c r="R75" s="7">
        <v>1.5088999999999999</v>
      </c>
      <c r="S75" s="7">
        <v>0.47449999999999998</v>
      </c>
      <c r="T75" s="7"/>
      <c r="U75" s="7"/>
      <c r="V75" s="7">
        <v>49.318300000000001</v>
      </c>
      <c r="W75" s="7">
        <v>0.3458</v>
      </c>
      <c r="X75" s="7">
        <v>2.5853000000000002</v>
      </c>
      <c r="Y75" s="7">
        <v>0.47449999999999998</v>
      </c>
      <c r="Z75" s="7"/>
      <c r="AA75" s="10">
        <v>117.6</v>
      </c>
      <c r="AB75" s="10">
        <v>2263.4</v>
      </c>
      <c r="AC75" s="10">
        <v>1500</v>
      </c>
      <c r="AD75" s="10">
        <v>2567.1999999999998</v>
      </c>
      <c r="AE75" s="10">
        <v>5186.6000000000004</v>
      </c>
      <c r="AF75" s="10">
        <v>3977.1525677999998</v>
      </c>
      <c r="AG75" s="10">
        <v>5034.1214208000001</v>
      </c>
      <c r="AH75" s="10">
        <v>3441.29394</v>
      </c>
      <c r="AI75" s="10">
        <v>3052.0999824999999</v>
      </c>
      <c r="AJ75" s="10">
        <v>4234.9986294</v>
      </c>
      <c r="AK75" s="10">
        <v>31.2</v>
      </c>
      <c r="AL75" s="10">
        <v>48</v>
      </c>
      <c r="AM75" s="14">
        <v>100</v>
      </c>
      <c r="AN75" s="14">
        <v>25</v>
      </c>
      <c r="AO75" s="14">
        <v>30</v>
      </c>
      <c r="AP75" s="14">
        <v>20</v>
      </c>
      <c r="AQ75" s="14">
        <v>20</v>
      </c>
      <c r="AR75" s="14">
        <v>30</v>
      </c>
      <c r="AS75" s="14">
        <v>30</v>
      </c>
      <c r="AT75" s="14">
        <v>30</v>
      </c>
      <c r="AU75" s="14">
        <v>13</v>
      </c>
      <c r="AV75" s="14">
        <v>14</v>
      </c>
      <c r="AW75" s="14">
        <v>100</v>
      </c>
      <c r="AX75" s="14">
        <v>100</v>
      </c>
    </row>
    <row r="76" spans="1:50" ht="20.100000000000001" customHeight="1">
      <c r="A76" s="1">
        <v>75</v>
      </c>
      <c r="B76" s="2" t="s">
        <v>73</v>
      </c>
      <c r="C76" s="10">
        <v>1167.3425999999999</v>
      </c>
      <c r="D76" s="10">
        <v>1493.6865</v>
      </c>
      <c r="E76" s="10">
        <v>2036.6503</v>
      </c>
      <c r="F76" s="10">
        <v>491.81200000000001</v>
      </c>
      <c r="G76" s="10">
        <v>130.4436</v>
      </c>
      <c r="H76" s="10">
        <v>3153.8161</v>
      </c>
      <c r="I76" s="10">
        <v>230.15591698200001</v>
      </c>
      <c r="J76" s="10">
        <v>309.33930626</v>
      </c>
      <c r="K76" s="10">
        <v>419.36731893400002</v>
      </c>
      <c r="L76" s="10">
        <v>131.64345121599999</v>
      </c>
      <c r="M76" s="10">
        <v>66.057103130000002</v>
      </c>
      <c r="N76" s="10">
        <v>630</v>
      </c>
      <c r="O76" s="7">
        <v>0.60860000000000003</v>
      </c>
      <c r="P76" s="7">
        <v>0.27960000000000002</v>
      </c>
      <c r="Q76" s="7">
        <v>0.36349999999999999</v>
      </c>
      <c r="R76" s="7">
        <v>-0.75849999999999995</v>
      </c>
      <c r="S76" s="7">
        <v>-0.73480000000000001</v>
      </c>
      <c r="T76" s="7">
        <v>23.177600000000002</v>
      </c>
      <c r="U76" s="7">
        <v>0.59079999999999999</v>
      </c>
      <c r="V76" s="7">
        <v>0.34399999999999997</v>
      </c>
      <c r="W76" s="7">
        <v>0.35570000000000002</v>
      </c>
      <c r="X76" s="7">
        <v>-0.68610000000000004</v>
      </c>
      <c r="Y76" s="7">
        <v>-0.49819999999999998</v>
      </c>
      <c r="Z76" s="7">
        <v>8.5372000000000003</v>
      </c>
      <c r="AA76" s="10">
        <v>4315.2149123999998</v>
      </c>
      <c r="AB76" s="10">
        <v>8214.6180800000002</v>
      </c>
      <c r="AC76" s="10">
        <v>3999.1706410000002</v>
      </c>
      <c r="AD76" s="10">
        <v>3123.6765277</v>
      </c>
      <c r="AE76" s="10">
        <v>3782.9366679999998</v>
      </c>
      <c r="AF76" s="10">
        <v>4411.1743646499999</v>
      </c>
      <c r="AG76" s="10">
        <v>4474.4943562500002</v>
      </c>
      <c r="AH76" s="10">
        <v>4467.7918983</v>
      </c>
      <c r="AI76" s="10">
        <v>4592.6403744999998</v>
      </c>
      <c r="AJ76" s="10">
        <v>5593.2117079999998</v>
      </c>
      <c r="AK76" s="10">
        <v>1001.3001216</v>
      </c>
      <c r="AL76" s="10">
        <v>2434.0815456</v>
      </c>
      <c r="AM76" s="14">
        <v>80</v>
      </c>
      <c r="AN76" s="14">
        <v>85</v>
      </c>
      <c r="AO76" s="14">
        <v>80</v>
      </c>
      <c r="AP76" s="14">
        <v>80</v>
      </c>
      <c r="AQ76" s="14">
        <v>85</v>
      </c>
      <c r="AR76" s="14">
        <v>80</v>
      </c>
      <c r="AS76" s="14">
        <v>80</v>
      </c>
      <c r="AT76" s="14">
        <v>80</v>
      </c>
      <c r="AU76" s="14">
        <v>80</v>
      </c>
      <c r="AV76" s="14">
        <v>80</v>
      </c>
      <c r="AW76" s="14">
        <v>75</v>
      </c>
      <c r="AX76" s="14">
        <v>60</v>
      </c>
    </row>
    <row r="77" spans="1:50" ht="20.100000000000001" customHeight="1">
      <c r="A77" s="1">
        <v>76</v>
      </c>
      <c r="B77" s="2" t="s">
        <v>74</v>
      </c>
      <c r="C77" s="10">
        <v>407.31869999999998</v>
      </c>
      <c r="D77" s="10">
        <v>798.30020000000002</v>
      </c>
      <c r="E77" s="10">
        <v>681.02970000000005</v>
      </c>
      <c r="F77" s="10">
        <v>709.7</v>
      </c>
      <c r="G77" s="10">
        <v>939.51520000000005</v>
      </c>
      <c r="H77" s="10">
        <v>996.3347</v>
      </c>
      <c r="I77" s="10">
        <v>137.18784781700001</v>
      </c>
      <c r="J77" s="10">
        <v>268.87323662</v>
      </c>
      <c r="K77" s="10">
        <v>264.05033616100002</v>
      </c>
      <c r="L77" s="10">
        <v>322.12285696200001</v>
      </c>
      <c r="M77" s="10">
        <v>426.41615903899998</v>
      </c>
      <c r="N77" s="10">
        <v>495.44786012909998</v>
      </c>
      <c r="O77" s="7">
        <v>-0.97970000000000002</v>
      </c>
      <c r="P77" s="7">
        <v>0.95989999999999998</v>
      </c>
      <c r="Q77" s="7">
        <v>-0.1469</v>
      </c>
      <c r="R77" s="7">
        <v>4.2099999999999999E-2</v>
      </c>
      <c r="S77" s="7">
        <v>0.32379999999999998</v>
      </c>
      <c r="T77" s="7">
        <v>6.0499999999999998E-2</v>
      </c>
      <c r="U77" s="7">
        <v>-0.31780000000000003</v>
      </c>
      <c r="V77" s="7">
        <v>0.95989999999999998</v>
      </c>
      <c r="W77" s="7">
        <v>-1.7899999999999999E-2</v>
      </c>
      <c r="X77" s="7">
        <v>0.21990000000000001</v>
      </c>
      <c r="Y77" s="7">
        <v>0.32379999999999998</v>
      </c>
      <c r="Z77" s="7">
        <v>0.16189999999999999</v>
      </c>
      <c r="AA77" s="10">
        <v>4897.6743765299998</v>
      </c>
      <c r="AB77" s="10">
        <v>7153.3265597700001</v>
      </c>
      <c r="AC77" s="10">
        <v>3115.0246484999998</v>
      </c>
      <c r="AD77" s="10">
        <v>2899.5179189999999</v>
      </c>
      <c r="AE77" s="10">
        <v>5022.59285275</v>
      </c>
      <c r="AF77" s="10">
        <v>6360.5786421000003</v>
      </c>
      <c r="AG77" s="10">
        <v>5022.4980618</v>
      </c>
      <c r="AH77" s="10">
        <v>5035.7769011999999</v>
      </c>
      <c r="AI77" s="10">
        <v>5850.8807708000004</v>
      </c>
      <c r="AJ77" s="10">
        <v>7088.42029275</v>
      </c>
      <c r="AK77" s="10">
        <v>3745.649985</v>
      </c>
      <c r="AL77" s="10">
        <v>4555.1553572399998</v>
      </c>
      <c r="AM77" s="14">
        <v>100</v>
      </c>
      <c r="AN77" s="14">
        <v>60</v>
      </c>
      <c r="AO77" s="14">
        <v>15</v>
      </c>
      <c r="AP77" s="14">
        <v>70</v>
      </c>
      <c r="AQ77" s="14">
        <v>70</v>
      </c>
      <c r="AR77" s="14">
        <v>80</v>
      </c>
      <c r="AS77" s="14">
        <v>85</v>
      </c>
      <c r="AT77" s="14">
        <v>85</v>
      </c>
      <c r="AU77" s="14">
        <v>80</v>
      </c>
      <c r="AV77" s="14">
        <v>80</v>
      </c>
      <c r="AW77" s="14">
        <v>100</v>
      </c>
      <c r="AX77" s="14">
        <v>100</v>
      </c>
    </row>
    <row r="78" spans="1:50" ht="20.100000000000001" customHeight="1">
      <c r="A78" s="1">
        <v>77</v>
      </c>
      <c r="B78" s="2" t="s">
        <v>75</v>
      </c>
      <c r="C78" s="10">
        <v>1023.4936</v>
      </c>
      <c r="D78" s="10">
        <v>1131.0118</v>
      </c>
      <c r="E78" s="10">
        <v>122.6431</v>
      </c>
      <c r="F78" s="10">
        <v>86.628399999999999</v>
      </c>
      <c r="G78" s="10">
        <v>82.103899999999996</v>
      </c>
      <c r="H78" s="10">
        <v>1237.5644</v>
      </c>
      <c r="I78" s="10">
        <v>711.23790576299996</v>
      </c>
      <c r="J78" s="10">
        <v>986.15428078499997</v>
      </c>
      <c r="K78" s="10">
        <v>144.12825878800001</v>
      </c>
      <c r="L78" s="10">
        <v>118.727079683</v>
      </c>
      <c r="M78" s="10">
        <v>114.53592655</v>
      </c>
      <c r="N78" s="10">
        <v>800</v>
      </c>
      <c r="O78" s="7">
        <v>0.85409999999999997</v>
      </c>
      <c r="P78" s="7">
        <v>0.1051</v>
      </c>
      <c r="Q78" s="7">
        <v>-0.89159999999999995</v>
      </c>
      <c r="R78" s="7">
        <v>-0.29370000000000002</v>
      </c>
      <c r="S78" s="7">
        <v>-5.2200000000000003E-2</v>
      </c>
      <c r="T78" s="7">
        <v>14.0732</v>
      </c>
      <c r="U78" s="7">
        <v>0.81910000000000005</v>
      </c>
      <c r="V78" s="7">
        <v>0.38650000000000001</v>
      </c>
      <c r="W78" s="7">
        <v>-0.8538</v>
      </c>
      <c r="X78" s="7">
        <v>-0.1762</v>
      </c>
      <c r="Y78" s="7">
        <v>-3.5299999999999998E-2</v>
      </c>
      <c r="Z78" s="7">
        <v>5.9847000000000001</v>
      </c>
      <c r="AA78" s="10">
        <v>10513.703175299999</v>
      </c>
      <c r="AB78" s="10">
        <v>48339.456025400003</v>
      </c>
      <c r="AC78" s="10">
        <v>17696.140054799998</v>
      </c>
      <c r="AD78" s="10">
        <v>8720.8835285000005</v>
      </c>
      <c r="AE78" s="10">
        <v>12837.38449475</v>
      </c>
      <c r="AF78" s="10">
        <v>16313.540866249999</v>
      </c>
      <c r="AG78" s="10">
        <v>16191.57046725</v>
      </c>
      <c r="AH78" s="10">
        <v>11526.2027055</v>
      </c>
      <c r="AI78" s="10">
        <v>11441.8320807</v>
      </c>
      <c r="AJ78" s="10">
        <v>16804.698130100001</v>
      </c>
      <c r="AK78" s="10">
        <v>3756.9300947500001</v>
      </c>
      <c r="AL78" s="10">
        <v>8723.9377476999998</v>
      </c>
      <c r="AM78" s="14">
        <v>45</v>
      </c>
      <c r="AN78" s="14">
        <v>50</v>
      </c>
      <c r="AO78" s="14">
        <v>45</v>
      </c>
      <c r="AP78" s="14">
        <v>60</v>
      </c>
      <c r="AQ78" s="14">
        <v>75</v>
      </c>
      <c r="AR78" s="14">
        <v>80</v>
      </c>
      <c r="AS78" s="14">
        <v>80</v>
      </c>
      <c r="AT78" s="14">
        <v>80</v>
      </c>
      <c r="AU78" s="14">
        <v>90</v>
      </c>
      <c r="AV78" s="14">
        <v>90</v>
      </c>
      <c r="AW78" s="14">
        <v>60</v>
      </c>
      <c r="AX78" s="14">
        <v>70</v>
      </c>
    </row>
    <row r="79" spans="1:50" ht="20.100000000000001" customHeight="1">
      <c r="A79" s="1">
        <v>78</v>
      </c>
      <c r="B79" s="2" t="s">
        <v>76</v>
      </c>
      <c r="C79" s="10">
        <v>4246.6337999999996</v>
      </c>
      <c r="D79" s="10">
        <v>3399.6696999999999</v>
      </c>
      <c r="E79" s="10">
        <v>4064.0095000000001</v>
      </c>
      <c r="F79" s="10">
        <v>3854.9856</v>
      </c>
      <c r="G79" s="10">
        <v>4833.1184999999996</v>
      </c>
      <c r="H79" s="10">
        <v>5408.0144</v>
      </c>
      <c r="I79" s="10">
        <v>1025.694727819</v>
      </c>
      <c r="J79" s="10">
        <v>835.40582788999996</v>
      </c>
      <c r="K79" s="10">
        <v>977.15641057699997</v>
      </c>
      <c r="L79" s="10">
        <v>926.89651617499999</v>
      </c>
      <c r="M79" s="10">
        <v>1170.1627998199999</v>
      </c>
      <c r="N79" s="10">
        <v>1309.3505834215</v>
      </c>
      <c r="O79" s="7">
        <v>0.72399999999999998</v>
      </c>
      <c r="P79" s="7">
        <v>-0.19939999999999999</v>
      </c>
      <c r="Q79" s="7">
        <v>0.19539999999999999</v>
      </c>
      <c r="R79" s="7">
        <v>-5.1400000000000001E-2</v>
      </c>
      <c r="S79" s="7">
        <v>0.25369999999999998</v>
      </c>
      <c r="T79" s="7">
        <v>0.11890000000000001</v>
      </c>
      <c r="U79" s="7">
        <v>0.72399999999999998</v>
      </c>
      <c r="V79" s="7">
        <v>-0.1855</v>
      </c>
      <c r="W79" s="7">
        <v>0.16969999999999999</v>
      </c>
      <c r="X79" s="7">
        <v>-5.1400000000000001E-2</v>
      </c>
      <c r="Y79" s="7">
        <v>0.26250000000000001</v>
      </c>
      <c r="Z79" s="7">
        <v>0.11890000000000001</v>
      </c>
      <c r="AA79" s="10">
        <v>13593.482470187</v>
      </c>
      <c r="AB79" s="10">
        <v>12985.119582273999</v>
      </c>
      <c r="AC79" s="10">
        <v>9538.5615739660007</v>
      </c>
      <c r="AD79" s="10">
        <v>6162.482961486</v>
      </c>
      <c r="AE79" s="10">
        <v>10295.621767668001</v>
      </c>
      <c r="AF79" s="10">
        <v>11562.983902800001</v>
      </c>
      <c r="AG79" s="10">
        <v>16180.905146999999</v>
      </c>
      <c r="AH79" s="10">
        <v>17495.325789300001</v>
      </c>
      <c r="AI79" s="10">
        <v>14484.698126400001</v>
      </c>
      <c r="AJ79" s="10">
        <v>13994.128105399999</v>
      </c>
      <c r="AK79" s="10">
        <v>5744.5336312199997</v>
      </c>
      <c r="AL79" s="10">
        <v>13664.629670058999</v>
      </c>
      <c r="AM79" s="14">
        <v>100</v>
      </c>
      <c r="AN79" s="14">
        <v>55</v>
      </c>
      <c r="AO79" s="14">
        <v>55</v>
      </c>
      <c r="AP79" s="14">
        <v>55</v>
      </c>
      <c r="AQ79" s="14">
        <v>55</v>
      </c>
      <c r="AR79" s="14">
        <v>55</v>
      </c>
      <c r="AS79" s="14">
        <v>45</v>
      </c>
      <c r="AT79" s="14">
        <v>45</v>
      </c>
      <c r="AU79" s="14">
        <v>45</v>
      </c>
      <c r="AV79" s="14">
        <v>40</v>
      </c>
      <c r="AW79" s="14">
        <v>100</v>
      </c>
      <c r="AX79" s="14">
        <v>100</v>
      </c>
    </row>
    <row r="80" spans="1:50" ht="20.100000000000001" customHeight="1">
      <c r="A80" s="1">
        <v>79</v>
      </c>
      <c r="B80" s="2" t="s">
        <v>77</v>
      </c>
      <c r="C80" s="10">
        <v>1436.0832</v>
      </c>
      <c r="D80" s="10">
        <v>-660.64149999999995</v>
      </c>
      <c r="E80" s="10">
        <v>2302.5717</v>
      </c>
      <c r="F80" s="10">
        <v>564.09929999999997</v>
      </c>
      <c r="G80" s="10">
        <v>3112.9917</v>
      </c>
      <c r="H80" s="10">
        <v>3032.3328000000001</v>
      </c>
      <c r="I80" s="10">
        <v>5464.6270000000004</v>
      </c>
      <c r="J80" s="10">
        <v>-2513.8829999999998</v>
      </c>
      <c r="K80" s="10">
        <v>8781.8610000000008</v>
      </c>
      <c r="L80" s="10">
        <v>2156.9250000000002</v>
      </c>
      <c r="M80" s="10">
        <v>11903.028</v>
      </c>
      <c r="N80" s="10">
        <v>11683.626809163799</v>
      </c>
      <c r="O80" s="7">
        <v>-0.27879999999999999</v>
      </c>
      <c r="P80" s="7"/>
      <c r="Q80" s="7"/>
      <c r="R80" s="7">
        <v>-0.755</v>
      </c>
      <c r="S80" s="7">
        <v>4.5185000000000004</v>
      </c>
      <c r="T80" s="7">
        <v>-2.5899999999999999E-2</v>
      </c>
      <c r="U80" s="7">
        <v>-0.27579999999999999</v>
      </c>
      <c r="V80" s="7"/>
      <c r="W80" s="7"/>
      <c r="X80" s="7">
        <v>-0.75439999999999996</v>
      </c>
      <c r="Y80" s="7">
        <v>4.5185000000000004</v>
      </c>
      <c r="Z80" s="7">
        <v>-1.84E-2</v>
      </c>
      <c r="AA80" s="10">
        <v>402509.24021000002</v>
      </c>
      <c r="AB80" s="10">
        <v>361875.92662410002</v>
      </c>
      <c r="AC80" s="10">
        <v>280324.26373349997</v>
      </c>
      <c r="AD80" s="10">
        <v>205189.73318179999</v>
      </c>
      <c r="AE80" s="10">
        <v>194510.71361100001</v>
      </c>
      <c r="AF80" s="10">
        <v>170535.3056206</v>
      </c>
      <c r="AG80" s="10">
        <v>157534.8563132</v>
      </c>
      <c r="AH80" s="10">
        <v>155049.47629855</v>
      </c>
      <c r="AI80" s="10">
        <v>365542.0452316</v>
      </c>
      <c r="AJ80" s="10">
        <v>849589.92039600003</v>
      </c>
      <c r="AK80" s="10">
        <v>301036.32251000003</v>
      </c>
      <c r="AL80" s="10">
        <v>365978.98983799998</v>
      </c>
      <c r="AM80" s="14">
        <v>30</v>
      </c>
      <c r="AN80" s="14">
        <v>35</v>
      </c>
      <c r="AO80" s="14">
        <v>35</v>
      </c>
      <c r="AP80" s="14">
        <v>25</v>
      </c>
      <c r="AQ80" s="14">
        <v>30</v>
      </c>
      <c r="AR80" s="14">
        <v>30</v>
      </c>
      <c r="AS80" s="14">
        <v>30</v>
      </c>
      <c r="AT80" s="14">
        <v>30</v>
      </c>
      <c r="AU80" s="14">
        <v>40</v>
      </c>
      <c r="AV80" s="14">
        <v>35</v>
      </c>
      <c r="AW80" s="14">
        <v>30</v>
      </c>
      <c r="AX80" s="14">
        <v>35</v>
      </c>
    </row>
    <row r="81" spans="1:50" ht="20.100000000000001" customHeight="1">
      <c r="A81" s="1">
        <v>80</v>
      </c>
      <c r="B81" s="2" t="s">
        <v>78</v>
      </c>
      <c r="C81" s="10">
        <v>0</v>
      </c>
      <c r="D81" s="10">
        <v>1376.8095000000001</v>
      </c>
      <c r="E81" s="10">
        <v>1343.9059999999999</v>
      </c>
      <c r="F81" s="10">
        <v>126.0778</v>
      </c>
      <c r="G81" s="10">
        <v>1326.4366</v>
      </c>
      <c r="H81" s="10">
        <v>2404.5907999999999</v>
      </c>
      <c r="I81" s="10">
        <v>45.826798205999999</v>
      </c>
      <c r="J81" s="10">
        <v>321.72044778899999</v>
      </c>
      <c r="K81" s="10">
        <v>286.68739347799999</v>
      </c>
      <c r="L81" s="10">
        <v>26.895414150000001</v>
      </c>
      <c r="M81" s="10">
        <v>317.04752018599999</v>
      </c>
      <c r="N81" s="10">
        <v>731.04850528359998</v>
      </c>
      <c r="O81" s="7">
        <v>0</v>
      </c>
      <c r="P81" s="7">
        <v>0</v>
      </c>
      <c r="Q81" s="7">
        <v>-2.3900000000000001E-2</v>
      </c>
      <c r="R81" s="7">
        <v>-0.90620000000000001</v>
      </c>
      <c r="S81" s="7">
        <v>9.5207999999999995</v>
      </c>
      <c r="T81" s="7">
        <v>0.81279999999999997</v>
      </c>
      <c r="U81" s="7">
        <v>2.536</v>
      </c>
      <c r="V81" s="7">
        <v>6.0204000000000004</v>
      </c>
      <c r="W81" s="7">
        <v>-0.1089</v>
      </c>
      <c r="X81" s="7">
        <v>-0.90620000000000001</v>
      </c>
      <c r="Y81" s="7">
        <v>10.7882</v>
      </c>
      <c r="Z81" s="7">
        <v>1.3058000000000001</v>
      </c>
      <c r="AA81" s="10"/>
      <c r="AB81" s="10">
        <v>3205.8</v>
      </c>
      <c r="AC81" s="10">
        <v>4764.8639999999996</v>
      </c>
      <c r="AD81" s="10">
        <v>2633.5920000000001</v>
      </c>
      <c r="AE81" s="10">
        <v>3293.7840000000001</v>
      </c>
      <c r="AF81" s="10">
        <v>3709.9920000000002</v>
      </c>
      <c r="AG81" s="10">
        <v>4620.5182010999997</v>
      </c>
      <c r="AH81" s="10">
        <v>6716.5081401999996</v>
      </c>
      <c r="AI81" s="10">
        <v>10701.5617984</v>
      </c>
      <c r="AJ81" s="10">
        <v>9743.8936260999999</v>
      </c>
      <c r="AK81" s="10"/>
      <c r="AL81" s="10"/>
      <c r="AM81" s="14">
        <v>100</v>
      </c>
      <c r="AN81" s="14">
        <v>80.394199999999998</v>
      </c>
      <c r="AO81" s="14">
        <v>80.394199999999998</v>
      </c>
      <c r="AP81" s="14">
        <v>60</v>
      </c>
      <c r="AQ81" s="14">
        <v>55</v>
      </c>
      <c r="AR81" s="14">
        <v>60</v>
      </c>
      <c r="AS81" s="14">
        <v>60</v>
      </c>
      <c r="AT81" s="14">
        <v>60</v>
      </c>
      <c r="AU81" s="14">
        <v>45</v>
      </c>
      <c r="AV81" s="14">
        <v>45</v>
      </c>
      <c r="AW81" s="14">
        <v>100</v>
      </c>
      <c r="AX81" s="14">
        <v>100</v>
      </c>
    </row>
    <row r="82" spans="1:50" ht="20.100000000000001" customHeight="1">
      <c r="A82" s="1">
        <v>81</v>
      </c>
      <c r="B82" s="2" t="s">
        <v>79</v>
      </c>
      <c r="C82" s="10">
        <v>8927.8646000000008</v>
      </c>
      <c r="D82" s="10">
        <v>11075.3742</v>
      </c>
      <c r="E82" s="10">
        <v>7179.3894</v>
      </c>
      <c r="F82" s="10">
        <v>5289.8777</v>
      </c>
      <c r="G82" s="10">
        <v>5044.5137000000004</v>
      </c>
      <c r="H82" s="10"/>
      <c r="I82" s="10">
        <v>1428.4197637110001</v>
      </c>
      <c r="J82" s="10">
        <v>1772.0598640549999</v>
      </c>
      <c r="K82" s="10">
        <v>1148.702304551</v>
      </c>
      <c r="L82" s="10">
        <v>846.38042968299999</v>
      </c>
      <c r="M82" s="10">
        <v>807.12218955100002</v>
      </c>
      <c r="N82" s="10"/>
      <c r="O82" s="7">
        <v>4.4299999999999999E-2</v>
      </c>
      <c r="P82" s="7">
        <v>0.24049999999999999</v>
      </c>
      <c r="Q82" s="7">
        <v>-0.3518</v>
      </c>
      <c r="R82" s="7">
        <v>-0.26319999999999999</v>
      </c>
      <c r="S82" s="7">
        <v>-4.6399999999999997E-2</v>
      </c>
      <c r="T82" s="7"/>
      <c r="U82" s="7">
        <v>1.2999999999999999E-2</v>
      </c>
      <c r="V82" s="7">
        <v>0.24060000000000001</v>
      </c>
      <c r="W82" s="7">
        <v>-0.3518</v>
      </c>
      <c r="X82" s="7">
        <v>-0.26319999999999999</v>
      </c>
      <c r="Y82" s="7">
        <v>-4.6399999999999997E-2</v>
      </c>
      <c r="Z82" s="7"/>
      <c r="AA82" s="10">
        <v>17408</v>
      </c>
      <c r="AB82" s="10">
        <v>18720</v>
      </c>
      <c r="AC82" s="10">
        <v>11904</v>
      </c>
      <c r="AD82" s="10">
        <v>8992</v>
      </c>
      <c r="AE82" s="10">
        <v>9680</v>
      </c>
      <c r="AF82" s="10">
        <v>8800</v>
      </c>
      <c r="AG82" s="10">
        <v>11760</v>
      </c>
      <c r="AH82" s="10">
        <v>10160</v>
      </c>
      <c r="AI82" s="10">
        <v>7712</v>
      </c>
      <c r="AJ82" s="10">
        <v>7600</v>
      </c>
      <c r="AK82" s="10">
        <v>9498.24</v>
      </c>
      <c r="AL82" s="10">
        <v>13533.44</v>
      </c>
      <c r="AM82" s="14">
        <v>100</v>
      </c>
      <c r="AN82" s="14">
        <v>20</v>
      </c>
      <c r="AO82" s="14">
        <v>20</v>
      </c>
      <c r="AP82" s="14">
        <v>20</v>
      </c>
      <c r="AQ82" s="14">
        <v>20</v>
      </c>
      <c r="AR82" s="14">
        <v>20</v>
      </c>
      <c r="AS82" s="14">
        <v>20</v>
      </c>
      <c r="AT82" s="14">
        <v>20</v>
      </c>
      <c r="AU82" s="14">
        <v>12</v>
      </c>
      <c r="AV82" s="14">
        <v>20</v>
      </c>
      <c r="AW82" s="14">
        <v>100</v>
      </c>
      <c r="AX82" s="14">
        <v>100</v>
      </c>
    </row>
    <row r="83" spans="1:50" ht="20.100000000000001" customHeight="1">
      <c r="A83" s="1">
        <v>82</v>
      </c>
      <c r="B83" s="2" t="s">
        <v>80</v>
      </c>
      <c r="C83" s="10">
        <v>2131.9594000000002</v>
      </c>
      <c r="D83" s="10">
        <v>2463.7424999999998</v>
      </c>
      <c r="E83" s="10">
        <v>2911.2909</v>
      </c>
      <c r="F83" s="10">
        <v>3225.7374</v>
      </c>
      <c r="G83" s="10">
        <v>3794.6145999999999</v>
      </c>
      <c r="H83" s="10">
        <v>4442.0230000000001</v>
      </c>
      <c r="I83" s="10">
        <v>1575.0157207300001</v>
      </c>
      <c r="J83" s="10">
        <v>1820.124198555</v>
      </c>
      <c r="K83" s="10">
        <v>2150.7568246720002</v>
      </c>
      <c r="L83" s="10">
        <v>2383.0578296630001</v>
      </c>
      <c r="M83" s="10">
        <v>2803.3236763139998</v>
      </c>
      <c r="N83" s="10">
        <v>3281.6066487011999</v>
      </c>
      <c r="O83" s="7">
        <v>5.96E-2</v>
      </c>
      <c r="P83" s="7">
        <v>0.15559999999999999</v>
      </c>
      <c r="Q83" s="7">
        <v>0.1817</v>
      </c>
      <c r="R83" s="7">
        <v>0.108</v>
      </c>
      <c r="S83" s="7">
        <v>0.1764</v>
      </c>
      <c r="T83" s="7">
        <v>0.1706</v>
      </c>
      <c r="U83" s="7">
        <v>0.16550000000000001</v>
      </c>
      <c r="V83" s="7">
        <v>0.15559999999999999</v>
      </c>
      <c r="W83" s="7">
        <v>0.1817</v>
      </c>
      <c r="X83" s="7">
        <v>0.108</v>
      </c>
      <c r="Y83" s="7">
        <v>0.1764</v>
      </c>
      <c r="Z83" s="7">
        <v>0.1706</v>
      </c>
      <c r="AA83" s="10">
        <v>26163.423443740001</v>
      </c>
      <c r="AB83" s="10">
        <v>24125.404233625999</v>
      </c>
      <c r="AC83" s="10">
        <v>22971.619097094001</v>
      </c>
      <c r="AD83" s="10">
        <v>16682.603586241999</v>
      </c>
      <c r="AE83" s="10">
        <v>19582.17004632</v>
      </c>
      <c r="AF83" s="10">
        <v>25511.482186035999</v>
      </c>
      <c r="AG83" s="10">
        <v>53992.794630992001</v>
      </c>
      <c r="AH83" s="10">
        <v>47672.917038544001</v>
      </c>
      <c r="AI83" s="10">
        <v>46729.744088601998</v>
      </c>
      <c r="AJ83" s="10">
        <v>45322.399691587001</v>
      </c>
      <c r="AK83" s="10">
        <v>13561.812478975</v>
      </c>
      <c r="AL83" s="10">
        <v>15378.065114538</v>
      </c>
      <c r="AM83" s="14">
        <v>100</v>
      </c>
      <c r="AN83" s="14">
        <v>15</v>
      </c>
      <c r="AO83" s="14">
        <v>15</v>
      </c>
      <c r="AP83" s="14">
        <v>15</v>
      </c>
      <c r="AQ83" s="14">
        <v>4.1695000000000002</v>
      </c>
      <c r="AR83" s="14">
        <v>4.1695000000000002</v>
      </c>
      <c r="AS83" s="14">
        <v>4.17</v>
      </c>
      <c r="AT83" s="14">
        <v>4.17</v>
      </c>
      <c r="AU83" s="14">
        <v>4.17</v>
      </c>
      <c r="AV83" s="14">
        <v>4.17</v>
      </c>
      <c r="AW83" s="14">
        <v>100</v>
      </c>
      <c r="AX83" s="14">
        <v>100</v>
      </c>
    </row>
    <row r="84" spans="1:50" ht="20.100000000000001" customHeight="1">
      <c r="A84" s="1">
        <v>83</v>
      </c>
      <c r="B84" s="2" t="s">
        <v>81</v>
      </c>
      <c r="C84" s="10">
        <v>-4801.9656000000004</v>
      </c>
      <c r="D84" s="10">
        <v>-4593.5155999999997</v>
      </c>
      <c r="E84" s="10">
        <v>-4020.9018000000001</v>
      </c>
      <c r="F84" s="10">
        <v>-2110.5356999999999</v>
      </c>
      <c r="G84" s="10">
        <v>2691.9856</v>
      </c>
      <c r="H84" s="10">
        <v>2599.7647000000002</v>
      </c>
      <c r="I84" s="10">
        <v>-10927.035283118001</v>
      </c>
      <c r="J84" s="10">
        <v>-12907.117624843</v>
      </c>
      <c r="K84" s="10">
        <v>-11298.155189349</v>
      </c>
      <c r="L84" s="10">
        <v>-5930.3015627650002</v>
      </c>
      <c r="M84" s="10">
        <v>7564.0920196950001</v>
      </c>
      <c r="N84" s="10">
        <v>8089.1626289200003</v>
      </c>
      <c r="O84" s="7"/>
      <c r="P84" s="7">
        <v>4.3400000000000001E-2</v>
      </c>
      <c r="Q84" s="7">
        <v>0.12470000000000001</v>
      </c>
      <c r="R84" s="7">
        <v>0.47510000000000002</v>
      </c>
      <c r="S84" s="7"/>
      <c r="T84" s="7">
        <v>-3.4299999999999997E-2</v>
      </c>
      <c r="U84" s="7"/>
      <c r="V84" s="7">
        <v>-0.1812</v>
      </c>
      <c r="W84" s="7">
        <v>0.12470000000000001</v>
      </c>
      <c r="X84" s="7">
        <v>0.47510000000000002</v>
      </c>
      <c r="Y84" s="7"/>
      <c r="Z84" s="7">
        <v>6.9400000000000003E-2</v>
      </c>
      <c r="AA84" s="10">
        <v>39144.827377200003</v>
      </c>
      <c r="AB84" s="10">
        <v>51263.225128099999</v>
      </c>
      <c r="AC84" s="10">
        <v>34323.109697</v>
      </c>
      <c r="AD84" s="10">
        <v>30780.079018600001</v>
      </c>
      <c r="AE84" s="10">
        <v>30780.079018600001</v>
      </c>
      <c r="AF84" s="10">
        <v>27126.3286315</v>
      </c>
      <c r="AG84" s="10">
        <v>73517.886576799996</v>
      </c>
      <c r="AH84" s="10">
        <v>63442.393085099997</v>
      </c>
      <c r="AI84" s="10">
        <v>83925.539194600002</v>
      </c>
      <c r="AJ84" s="10">
        <v>93033.796508900006</v>
      </c>
      <c r="AK84" s="10">
        <v>35599.100259699997</v>
      </c>
      <c r="AL84" s="10">
        <v>40137.630970099999</v>
      </c>
      <c r="AM84" s="14">
        <v>4</v>
      </c>
      <c r="AN84" s="14">
        <v>4</v>
      </c>
      <c r="AO84" s="14">
        <v>4</v>
      </c>
      <c r="AP84" s="14">
        <v>4</v>
      </c>
      <c r="AQ84" s="14">
        <v>8.0427999999999997</v>
      </c>
      <c r="AR84" s="14">
        <v>8.0427999999999997</v>
      </c>
      <c r="AS84" s="14">
        <v>8.0399999999999991</v>
      </c>
      <c r="AT84" s="14">
        <v>8.0399999999999991</v>
      </c>
      <c r="AU84" s="14">
        <v>8.0399999999999991</v>
      </c>
      <c r="AV84" s="14">
        <v>8.0399999999999991</v>
      </c>
      <c r="AW84" s="14">
        <v>4</v>
      </c>
      <c r="AX84" s="14">
        <v>5</v>
      </c>
    </row>
    <row r="85" spans="1:50" ht="20.100000000000001" customHeight="1">
      <c r="A85" s="1">
        <v>84</v>
      </c>
      <c r="B85" s="2" t="s">
        <v>82</v>
      </c>
      <c r="C85" s="10">
        <v>-571.9905</v>
      </c>
      <c r="D85" s="10">
        <v>1245.2778000000001</v>
      </c>
      <c r="E85" s="10">
        <v>2940.8690999999999</v>
      </c>
      <c r="F85" s="10">
        <v>1727.4299000000001</v>
      </c>
      <c r="G85" s="10">
        <v>126.042</v>
      </c>
      <c r="H85" s="10">
        <v>715.60490000000004</v>
      </c>
      <c r="I85" s="10">
        <v>-2818.84151544</v>
      </c>
      <c r="J85" s="10">
        <v>6715.5043136579998</v>
      </c>
      <c r="K85" s="10">
        <v>14725.833852993001</v>
      </c>
      <c r="L85" s="10">
        <v>8649.7714833530008</v>
      </c>
      <c r="M85" s="10">
        <v>631.13074930400001</v>
      </c>
      <c r="N85" s="10">
        <v>3583.2535595994</v>
      </c>
      <c r="O85" s="7"/>
      <c r="P85" s="7"/>
      <c r="Q85" s="7">
        <v>1.3615999999999999</v>
      </c>
      <c r="R85" s="7">
        <v>-0.41260000000000002</v>
      </c>
      <c r="S85" s="7">
        <v>-0.92700000000000005</v>
      </c>
      <c r="T85" s="7">
        <v>4.6775000000000002</v>
      </c>
      <c r="U85" s="7"/>
      <c r="V85" s="7"/>
      <c r="W85" s="7">
        <v>1.1928000000000001</v>
      </c>
      <c r="X85" s="7">
        <v>-0.41260000000000002</v>
      </c>
      <c r="Y85" s="7">
        <v>-0.92700000000000005</v>
      </c>
      <c r="Z85" s="7">
        <v>4.6775000000000002</v>
      </c>
      <c r="AA85" s="10">
        <v>65780.199853055994</v>
      </c>
      <c r="AB85" s="10">
        <v>71773.465610783998</v>
      </c>
      <c r="AC85" s="10">
        <v>88726.997511071997</v>
      </c>
      <c r="AD85" s="10">
        <v>41075.418912768</v>
      </c>
      <c r="AE85" s="10">
        <v>53663.447353727999</v>
      </c>
      <c r="AF85" s="10">
        <v>57306.534402527999</v>
      </c>
      <c r="AG85" s="10">
        <v>68127.278062368001</v>
      </c>
      <c r="AH85" s="10">
        <v>70620.079753632002</v>
      </c>
      <c r="AI85" s="10">
        <v>55343.918145600001</v>
      </c>
      <c r="AJ85" s="10">
        <v>81118.254913199999</v>
      </c>
      <c r="AK85" s="10">
        <v>21198.115874592</v>
      </c>
      <c r="AL85" s="10">
        <v>30725.951194559999</v>
      </c>
      <c r="AM85" s="14">
        <v>10</v>
      </c>
      <c r="AN85" s="14">
        <v>10</v>
      </c>
      <c r="AO85" s="14">
        <v>10</v>
      </c>
      <c r="AP85" s="14">
        <v>10</v>
      </c>
      <c r="AQ85" s="14">
        <v>10</v>
      </c>
      <c r="AR85" s="14">
        <v>10</v>
      </c>
      <c r="AS85" s="14">
        <v>10</v>
      </c>
      <c r="AT85" s="14">
        <v>10</v>
      </c>
      <c r="AU85" s="14">
        <v>10</v>
      </c>
      <c r="AV85" s="14">
        <v>8</v>
      </c>
      <c r="AW85" s="14">
        <v>10</v>
      </c>
      <c r="AX85" s="14">
        <v>10</v>
      </c>
    </row>
    <row r="86" spans="1:50" ht="20.100000000000001" customHeight="1">
      <c r="A86" s="1">
        <v>85</v>
      </c>
      <c r="B86" s="2" t="s">
        <v>83</v>
      </c>
      <c r="C86" s="10">
        <v>2913.8238999999999</v>
      </c>
      <c r="D86" s="10">
        <v>3477.1815999999999</v>
      </c>
      <c r="E86" s="10">
        <v>3568.9436000000001</v>
      </c>
      <c r="F86" s="10">
        <v>6060.2938999999997</v>
      </c>
      <c r="G86" s="10">
        <v>6464.5892000000003</v>
      </c>
      <c r="H86" s="10">
        <v>4902.4206000000004</v>
      </c>
      <c r="I86" s="10">
        <v>1052.9779561570001</v>
      </c>
      <c r="J86" s="10">
        <v>1253.564178457</v>
      </c>
      <c r="K86" s="10">
        <v>1286.7435855799999</v>
      </c>
      <c r="L86" s="10">
        <v>2183.4652754469998</v>
      </c>
      <c r="M86" s="10">
        <v>2376.6942525320001</v>
      </c>
      <c r="N86" s="10">
        <v>1820.5708425186999</v>
      </c>
      <c r="O86" s="7">
        <v>-0.1867</v>
      </c>
      <c r="P86" s="7">
        <v>0.1933</v>
      </c>
      <c r="Q86" s="7">
        <v>2.64E-2</v>
      </c>
      <c r="R86" s="7">
        <v>0.69810000000000005</v>
      </c>
      <c r="S86" s="7">
        <v>6.6699999999999995E-2</v>
      </c>
      <c r="T86" s="7">
        <v>-0.2417</v>
      </c>
      <c r="U86" s="7">
        <v>-0.18490000000000001</v>
      </c>
      <c r="V86" s="7">
        <v>0.1905</v>
      </c>
      <c r="W86" s="7">
        <v>2.6499999999999999E-2</v>
      </c>
      <c r="X86" s="7">
        <v>0.69689999999999996</v>
      </c>
      <c r="Y86" s="7">
        <v>8.8499999999999995E-2</v>
      </c>
      <c r="Z86" s="7">
        <v>-0.23400000000000001</v>
      </c>
      <c r="AA86" s="10">
        <v>14506.396711154999</v>
      </c>
      <c r="AB86" s="10">
        <v>17293.026939840001</v>
      </c>
      <c r="AC86" s="10">
        <v>16174.734060825</v>
      </c>
      <c r="AD86" s="10">
        <v>12844.127340720001</v>
      </c>
      <c r="AE86" s="10">
        <v>17079.219906794999</v>
      </c>
      <c r="AF86" s="10">
        <v>16330.002941250001</v>
      </c>
      <c r="AG86" s="10">
        <v>17634.618476774998</v>
      </c>
      <c r="AH86" s="10">
        <v>18777.629414474999</v>
      </c>
      <c r="AI86" s="10">
        <v>17455.934304440001</v>
      </c>
      <c r="AJ86" s="10">
        <v>16307.033826315001</v>
      </c>
      <c r="AK86" s="10">
        <v>10451.558822355</v>
      </c>
      <c r="AL86" s="10">
        <v>13990.261536225</v>
      </c>
      <c r="AM86" s="14">
        <v>75</v>
      </c>
      <c r="AN86" s="14">
        <v>75</v>
      </c>
      <c r="AO86" s="14">
        <v>75</v>
      </c>
      <c r="AP86" s="14">
        <v>75</v>
      </c>
      <c r="AQ86" s="14">
        <v>75</v>
      </c>
      <c r="AR86" s="14">
        <v>80</v>
      </c>
      <c r="AS86" s="14">
        <v>80</v>
      </c>
      <c r="AT86" s="14">
        <v>75</v>
      </c>
      <c r="AU86" s="14">
        <v>75</v>
      </c>
      <c r="AV86" s="14">
        <v>75</v>
      </c>
      <c r="AW86" s="14">
        <v>75</v>
      </c>
      <c r="AX86" s="14">
        <v>75</v>
      </c>
    </row>
    <row r="87" spans="1:50" ht="20.100000000000001" customHeight="1">
      <c r="A87" s="1">
        <v>86</v>
      </c>
      <c r="B87" s="2" t="s">
        <v>84</v>
      </c>
      <c r="C87" s="10">
        <v>1990.3412000000001</v>
      </c>
      <c r="D87" s="10">
        <v>2821.8888999999999</v>
      </c>
      <c r="E87" s="10">
        <v>2792.8083999999999</v>
      </c>
      <c r="F87" s="10">
        <v>2556.1459</v>
      </c>
      <c r="G87" s="10">
        <v>2393.1282999999999</v>
      </c>
      <c r="H87" s="10">
        <v>3454.1696000000002</v>
      </c>
      <c r="I87" s="10">
        <v>535.38412682800003</v>
      </c>
      <c r="J87" s="10">
        <v>748.55616308699996</v>
      </c>
      <c r="K87" s="10">
        <v>742.84220678700001</v>
      </c>
      <c r="L87" s="10">
        <v>674.46128596699998</v>
      </c>
      <c r="M87" s="10">
        <v>638.92876282600002</v>
      </c>
      <c r="N87" s="10">
        <v>921.93211965060004</v>
      </c>
      <c r="O87" s="7">
        <v>-0.28539999999999999</v>
      </c>
      <c r="P87" s="7">
        <v>0.4178</v>
      </c>
      <c r="Q87" s="7">
        <v>-1.03E-2</v>
      </c>
      <c r="R87" s="7">
        <v>-8.4699999999999998E-2</v>
      </c>
      <c r="S87" s="7">
        <v>-6.3799999999999996E-2</v>
      </c>
      <c r="T87" s="7">
        <v>0.44340000000000002</v>
      </c>
      <c r="U87" s="7">
        <v>0.1241</v>
      </c>
      <c r="V87" s="7">
        <v>0.3982</v>
      </c>
      <c r="W87" s="7">
        <v>-7.6E-3</v>
      </c>
      <c r="X87" s="7">
        <v>-9.2100000000000001E-2</v>
      </c>
      <c r="Y87" s="7">
        <v>-5.2699999999999997E-2</v>
      </c>
      <c r="Z87" s="7">
        <v>0.44290000000000002</v>
      </c>
      <c r="AA87" s="10">
        <v>6819.7219999999998</v>
      </c>
      <c r="AB87" s="10">
        <v>8276.268</v>
      </c>
      <c r="AC87" s="10">
        <v>9838.92</v>
      </c>
      <c r="AD87" s="10">
        <v>9549.5400000000009</v>
      </c>
      <c r="AE87" s="10">
        <v>8488.48</v>
      </c>
      <c r="AF87" s="10">
        <v>7948.3040000000001</v>
      </c>
      <c r="AG87" s="10">
        <v>10050.739030799999</v>
      </c>
      <c r="AH87" s="10">
        <v>10446.61059</v>
      </c>
      <c r="AI87" s="10">
        <v>10545.5784798</v>
      </c>
      <c r="AJ87" s="10">
        <v>10633.549937399999</v>
      </c>
      <c r="AK87" s="10">
        <v>3532.5</v>
      </c>
      <c r="AL87" s="10">
        <v>6337.5</v>
      </c>
      <c r="AM87" s="14">
        <v>30</v>
      </c>
      <c r="AN87" s="14">
        <v>25</v>
      </c>
      <c r="AO87" s="14">
        <v>25</v>
      </c>
      <c r="AP87" s="14">
        <v>30</v>
      </c>
      <c r="AQ87" s="14">
        <v>30</v>
      </c>
      <c r="AR87" s="14">
        <v>30</v>
      </c>
      <c r="AS87" s="14">
        <v>35</v>
      </c>
      <c r="AT87" s="14">
        <v>30</v>
      </c>
      <c r="AU87" s="14">
        <v>30</v>
      </c>
      <c r="AV87" s="14">
        <v>30</v>
      </c>
      <c r="AW87" s="14">
        <v>30</v>
      </c>
      <c r="AX87" s="14">
        <v>30</v>
      </c>
    </row>
    <row r="88" spans="1:50" ht="20.100000000000001" customHeight="1">
      <c r="A88" s="1">
        <v>87</v>
      </c>
      <c r="B88" s="2" t="s">
        <v>85</v>
      </c>
      <c r="C88" s="10">
        <v>1673.0645999999999</v>
      </c>
      <c r="D88" s="10">
        <v>2095.6810999999998</v>
      </c>
      <c r="E88" s="10">
        <v>1627.0707</v>
      </c>
      <c r="F88" s="10">
        <v>943.76790000000005</v>
      </c>
      <c r="G88" s="10">
        <v>1785.518</v>
      </c>
      <c r="H88" s="10">
        <v>1625.3820000000001</v>
      </c>
      <c r="I88" s="10">
        <v>102.940637009</v>
      </c>
      <c r="J88" s="10">
        <v>128.94346327599999</v>
      </c>
      <c r="K88" s="10">
        <v>100.10986724599999</v>
      </c>
      <c r="L88" s="10">
        <v>58.066704389999998</v>
      </c>
      <c r="M88" s="10">
        <v>109.854603864</v>
      </c>
      <c r="N88" s="10">
        <v>100</v>
      </c>
      <c r="O88" s="7">
        <v>0.36930000000000002</v>
      </c>
      <c r="P88" s="7">
        <v>0.25259999999999999</v>
      </c>
      <c r="Q88" s="7">
        <v>-0.22359999999999999</v>
      </c>
      <c r="R88" s="7">
        <v>-0.42</v>
      </c>
      <c r="S88" s="7">
        <v>0.89190000000000003</v>
      </c>
      <c r="T88" s="7">
        <v>-8.9700000000000002E-2</v>
      </c>
      <c r="U88" s="7">
        <v>0.36930000000000002</v>
      </c>
      <c r="V88" s="7">
        <v>0.25259999999999999</v>
      </c>
      <c r="W88" s="7">
        <v>-0.22359999999999999</v>
      </c>
      <c r="X88" s="7">
        <v>-0.42</v>
      </c>
      <c r="Y88" s="7">
        <v>0.89190000000000003</v>
      </c>
      <c r="Z88" s="7">
        <v>-8.9700000000000002E-2</v>
      </c>
      <c r="AA88" s="10">
        <v>800.12019099999998</v>
      </c>
      <c r="AB88" s="10">
        <v>1840.2764393</v>
      </c>
      <c r="AC88" s="10">
        <v>724.31933079999999</v>
      </c>
      <c r="AD88" s="10">
        <v>513.33596260000002</v>
      </c>
      <c r="AE88" s="10">
        <v>852.33140960000003</v>
      </c>
      <c r="AF88" s="10">
        <v>1230.5293770000001</v>
      </c>
      <c r="AG88" s="10">
        <v>1891.0732849999999</v>
      </c>
      <c r="AH88" s="10">
        <v>1750.6755438</v>
      </c>
      <c r="AI88" s="10">
        <v>1498.9809768</v>
      </c>
      <c r="AJ88" s="10">
        <v>1808.8101569999999</v>
      </c>
      <c r="AK88" s="10">
        <v>290.56996409999999</v>
      </c>
      <c r="AL88" s="10">
        <v>539.0283392</v>
      </c>
      <c r="AM88" s="14">
        <v>100</v>
      </c>
      <c r="AN88" s="14">
        <v>55</v>
      </c>
      <c r="AO88" s="14">
        <v>40</v>
      </c>
      <c r="AP88" s="14">
        <v>35</v>
      </c>
      <c r="AQ88" s="14">
        <v>40</v>
      </c>
      <c r="AR88" s="14">
        <v>45</v>
      </c>
      <c r="AS88" s="14">
        <v>40</v>
      </c>
      <c r="AT88" s="14">
        <v>40</v>
      </c>
      <c r="AU88" s="14">
        <v>45</v>
      </c>
      <c r="AV88" s="14">
        <v>55</v>
      </c>
      <c r="AW88" s="14">
        <v>100</v>
      </c>
      <c r="AX88" s="14">
        <v>100</v>
      </c>
    </row>
    <row r="89" spans="1:50" ht="20.100000000000001" customHeight="1">
      <c r="A89" s="1">
        <v>88</v>
      </c>
      <c r="B89" s="2" t="s">
        <v>86</v>
      </c>
      <c r="C89" s="10">
        <v>811.87379999999996</v>
      </c>
      <c r="D89" s="10">
        <v>1124.9947</v>
      </c>
      <c r="E89" s="10">
        <v>1427.9001000000001</v>
      </c>
      <c r="F89" s="10">
        <v>1538.1111000000001</v>
      </c>
      <c r="G89" s="10">
        <v>1476.9992999999999</v>
      </c>
      <c r="H89" s="10">
        <v>1784.6957</v>
      </c>
      <c r="I89" s="10">
        <v>170.59972491400001</v>
      </c>
      <c r="J89" s="10">
        <v>236.396088069</v>
      </c>
      <c r="K89" s="10">
        <v>301.22685757800002</v>
      </c>
      <c r="L89" s="10">
        <v>324.43372333100001</v>
      </c>
      <c r="M89" s="10">
        <v>312.150507785</v>
      </c>
      <c r="N89" s="10">
        <v>377.9004009359</v>
      </c>
      <c r="O89" s="7">
        <v>0.2475</v>
      </c>
      <c r="P89" s="7">
        <v>0.38569999999999999</v>
      </c>
      <c r="Q89" s="7">
        <v>0.26929999999999998</v>
      </c>
      <c r="R89" s="7">
        <v>7.7200000000000005E-2</v>
      </c>
      <c r="S89" s="7">
        <v>-3.9699999999999999E-2</v>
      </c>
      <c r="T89" s="7">
        <v>0.20830000000000001</v>
      </c>
      <c r="U89" s="7">
        <v>0.2475</v>
      </c>
      <c r="V89" s="7">
        <v>0.38569999999999999</v>
      </c>
      <c r="W89" s="7">
        <v>0.2742</v>
      </c>
      <c r="X89" s="7">
        <v>7.6999999999999999E-2</v>
      </c>
      <c r="Y89" s="7">
        <v>-3.7900000000000003E-2</v>
      </c>
      <c r="Z89" s="7">
        <v>0.21060000000000001</v>
      </c>
      <c r="AA89" s="10">
        <v>3729.9950018</v>
      </c>
      <c r="AB89" s="10">
        <v>5999.9919600000003</v>
      </c>
      <c r="AC89" s="10">
        <v>6376.4346555000002</v>
      </c>
      <c r="AD89" s="10">
        <v>6023.8412799999996</v>
      </c>
      <c r="AE89" s="10">
        <v>6957.5366783999998</v>
      </c>
      <c r="AF89" s="10">
        <v>8266.1743260000003</v>
      </c>
      <c r="AG89" s="10">
        <v>11616.797055999999</v>
      </c>
      <c r="AH89" s="10">
        <v>10408.55513425</v>
      </c>
      <c r="AI89" s="10">
        <v>8726.7233290999993</v>
      </c>
      <c r="AJ89" s="10">
        <v>8141.5993641499999</v>
      </c>
      <c r="AK89" s="10">
        <v>3104.9958393000002</v>
      </c>
      <c r="AL89" s="10">
        <v>3799.9949080000001</v>
      </c>
      <c r="AM89" s="14">
        <v>35</v>
      </c>
      <c r="AN89" s="14">
        <v>40</v>
      </c>
      <c r="AO89" s="14">
        <v>40</v>
      </c>
      <c r="AP89" s="14">
        <v>40</v>
      </c>
      <c r="AQ89" s="14">
        <v>40</v>
      </c>
      <c r="AR89" s="14">
        <v>40</v>
      </c>
      <c r="AS89" s="14">
        <v>45</v>
      </c>
      <c r="AT89" s="14">
        <v>45</v>
      </c>
      <c r="AU89" s="14">
        <v>40</v>
      </c>
      <c r="AV89" s="14">
        <v>35</v>
      </c>
      <c r="AW89" s="14">
        <v>40</v>
      </c>
      <c r="AX89" s="14">
        <v>40</v>
      </c>
    </row>
    <row r="90" spans="1:50" ht="20.100000000000001" customHeight="1">
      <c r="A90" s="1">
        <v>89</v>
      </c>
      <c r="B90" s="2" t="s">
        <v>87</v>
      </c>
      <c r="C90" s="10">
        <v>2008.385</v>
      </c>
      <c r="D90" s="10">
        <v>2749.0237000000002</v>
      </c>
      <c r="E90" s="10">
        <v>3246.4092000000001</v>
      </c>
      <c r="F90" s="10">
        <v>3418.4168</v>
      </c>
      <c r="G90" s="10">
        <v>3531.3924000000002</v>
      </c>
      <c r="H90" s="10">
        <v>3908.9641999999999</v>
      </c>
      <c r="I90" s="10">
        <v>274.16259865400002</v>
      </c>
      <c r="J90" s="10">
        <v>375.25309959100002</v>
      </c>
      <c r="K90" s="10">
        <v>442.89577027399997</v>
      </c>
      <c r="L90" s="10">
        <v>515.87777050399995</v>
      </c>
      <c r="M90" s="10">
        <v>538.22117825800001</v>
      </c>
      <c r="N90" s="10">
        <v>596.17437061279998</v>
      </c>
      <c r="O90" s="7">
        <v>0.42330000000000001</v>
      </c>
      <c r="P90" s="7">
        <v>0.36880000000000002</v>
      </c>
      <c r="Q90" s="7">
        <v>0.18090000000000001</v>
      </c>
      <c r="R90" s="7">
        <v>5.2999999999999999E-2</v>
      </c>
      <c r="S90" s="7">
        <v>3.3000000000000002E-2</v>
      </c>
      <c r="T90" s="7">
        <v>0.1069</v>
      </c>
      <c r="U90" s="7">
        <v>0.4511</v>
      </c>
      <c r="V90" s="7">
        <v>0.36870000000000003</v>
      </c>
      <c r="W90" s="7">
        <v>0.18029999999999999</v>
      </c>
      <c r="X90" s="7">
        <v>0.1648</v>
      </c>
      <c r="Y90" s="7">
        <v>4.3299999999999998E-2</v>
      </c>
      <c r="Z90" s="7">
        <v>0.1077</v>
      </c>
      <c r="AA90" s="10">
        <v>6548.1344554099996</v>
      </c>
      <c r="AB90" s="10">
        <v>8111.2319502970004</v>
      </c>
      <c r="AC90" s="10">
        <v>7092.1357939999998</v>
      </c>
      <c r="AD90" s="10">
        <v>5765.0483015999998</v>
      </c>
      <c r="AE90" s="10">
        <v>8064.2044695000004</v>
      </c>
      <c r="AF90" s="10">
        <v>10500.623692200001</v>
      </c>
      <c r="AG90" s="10">
        <v>16082.6545874</v>
      </c>
      <c r="AH90" s="10">
        <v>14241.041935499999</v>
      </c>
      <c r="AI90" s="10">
        <v>11758.8683612</v>
      </c>
      <c r="AJ90" s="10">
        <v>10580.6938075</v>
      </c>
      <c r="AK90" s="10">
        <v>2698.4898551219999</v>
      </c>
      <c r="AL90" s="10">
        <v>4950.7208953319996</v>
      </c>
      <c r="AM90" s="14">
        <v>100</v>
      </c>
      <c r="AN90" s="14">
        <v>35</v>
      </c>
      <c r="AO90" s="14">
        <v>30</v>
      </c>
      <c r="AP90" s="14">
        <v>35</v>
      </c>
      <c r="AQ90" s="14">
        <v>35</v>
      </c>
      <c r="AR90" s="14">
        <v>35</v>
      </c>
      <c r="AS90" s="14">
        <v>35</v>
      </c>
      <c r="AT90" s="14">
        <v>35</v>
      </c>
      <c r="AU90" s="14">
        <v>35</v>
      </c>
      <c r="AV90" s="14">
        <v>35</v>
      </c>
      <c r="AW90" s="14">
        <v>100</v>
      </c>
      <c r="AX90" s="14">
        <v>100</v>
      </c>
    </row>
    <row r="91" spans="1:50" ht="20.100000000000001" customHeight="1">
      <c r="A91" s="1">
        <v>90</v>
      </c>
      <c r="B91" s="2" t="s">
        <v>88</v>
      </c>
      <c r="C91" s="10">
        <v>682.02070000000003</v>
      </c>
      <c r="D91" s="10">
        <v>1934.1010000000001</v>
      </c>
      <c r="E91" s="10">
        <v>-471.38690000000003</v>
      </c>
      <c r="F91" s="10">
        <v>1271.7683999999999</v>
      </c>
      <c r="G91" s="10">
        <v>1084.0425</v>
      </c>
      <c r="H91" s="10">
        <v>832.52390000000003</v>
      </c>
      <c r="I91" s="10">
        <v>150.10228277799999</v>
      </c>
      <c r="J91" s="10">
        <v>425.66495263500002</v>
      </c>
      <c r="K91" s="10">
        <v>-121.412764657</v>
      </c>
      <c r="L91" s="10">
        <v>327.563023413</v>
      </c>
      <c r="M91" s="10">
        <v>289.76456651500001</v>
      </c>
      <c r="N91" s="10">
        <v>226.44650938039999</v>
      </c>
      <c r="O91" s="7">
        <v>3.3325</v>
      </c>
      <c r="P91" s="7">
        <v>1.8358000000000001</v>
      </c>
      <c r="Q91" s="7"/>
      <c r="R91" s="7"/>
      <c r="S91" s="7">
        <v>-0.14760000000000001</v>
      </c>
      <c r="T91" s="7">
        <v>-0.23200000000000001</v>
      </c>
      <c r="U91" s="7">
        <v>3.3325</v>
      </c>
      <c r="V91" s="7">
        <v>1.8358000000000001</v>
      </c>
      <c r="W91" s="7"/>
      <c r="X91" s="7"/>
      <c r="Y91" s="7">
        <v>-0.1154</v>
      </c>
      <c r="Z91" s="7">
        <v>-0.2185</v>
      </c>
      <c r="AA91" s="10">
        <v>2502.4976499999998</v>
      </c>
      <c r="AB91" s="10">
        <v>3704.9394412500001</v>
      </c>
      <c r="AC91" s="10">
        <v>1734.2269725000001</v>
      </c>
      <c r="AD91" s="10">
        <v>1539.3</v>
      </c>
      <c r="AE91" s="10">
        <v>2866.5</v>
      </c>
      <c r="AF91" s="10">
        <v>3591</v>
      </c>
      <c r="AG91" s="10">
        <v>4823.49</v>
      </c>
      <c r="AH91" s="10">
        <v>5078.7</v>
      </c>
      <c r="AI91" s="10">
        <v>3835.7550000000001</v>
      </c>
      <c r="AJ91" s="10">
        <v>5059.2</v>
      </c>
      <c r="AK91" s="10">
        <v>599.59843694000006</v>
      </c>
      <c r="AL91" s="10">
        <v>1071.0689941999999</v>
      </c>
      <c r="AM91" s="14">
        <v>35</v>
      </c>
      <c r="AN91" s="14">
        <v>35</v>
      </c>
      <c r="AO91" s="14">
        <v>35</v>
      </c>
      <c r="AP91" s="14">
        <v>40</v>
      </c>
      <c r="AQ91" s="14">
        <v>35</v>
      </c>
      <c r="AR91" s="14">
        <v>40</v>
      </c>
      <c r="AS91" s="14">
        <v>40</v>
      </c>
      <c r="AT91" s="14">
        <v>40</v>
      </c>
      <c r="AU91" s="14">
        <v>40</v>
      </c>
      <c r="AV91" s="14">
        <v>45</v>
      </c>
      <c r="AW91" s="14">
        <v>35</v>
      </c>
      <c r="AX91" s="14">
        <v>35</v>
      </c>
    </row>
    <row r="92" spans="1:50" ht="20.100000000000001" customHeight="1">
      <c r="A92" s="1">
        <v>91</v>
      </c>
      <c r="B92" s="2" t="s">
        <v>89</v>
      </c>
      <c r="C92" s="10">
        <v>330.8571</v>
      </c>
      <c r="D92" s="10">
        <v>524.35069999999996</v>
      </c>
      <c r="E92" s="10">
        <v>341.9753</v>
      </c>
      <c r="F92" s="10">
        <v>97.021900000000002</v>
      </c>
      <c r="G92" s="10">
        <v>454.41899999999998</v>
      </c>
      <c r="H92" s="10"/>
      <c r="I92" s="10">
        <v>44.059698427999997</v>
      </c>
      <c r="J92" s="10">
        <v>89.385473067999996</v>
      </c>
      <c r="K92" s="10">
        <v>58.118858146000001</v>
      </c>
      <c r="L92" s="10">
        <v>16.488912249999998</v>
      </c>
      <c r="M92" s="10">
        <v>77.228719810000001</v>
      </c>
      <c r="N92" s="10"/>
      <c r="O92" s="7">
        <v>-0.55479999999999996</v>
      </c>
      <c r="P92" s="7">
        <v>0.58479999999999999</v>
      </c>
      <c r="Q92" s="7">
        <v>-0.3478</v>
      </c>
      <c r="R92" s="7">
        <v>-0.71630000000000005</v>
      </c>
      <c r="S92" s="7">
        <v>3.6837</v>
      </c>
      <c r="T92" s="7"/>
      <c r="U92" s="7">
        <v>-0.55479999999999996</v>
      </c>
      <c r="V92" s="7">
        <v>1.0286999999999999</v>
      </c>
      <c r="W92" s="7">
        <v>-0.3498</v>
      </c>
      <c r="X92" s="7">
        <v>-0.71630000000000005</v>
      </c>
      <c r="Y92" s="7">
        <v>3.6837</v>
      </c>
      <c r="Z92" s="7"/>
      <c r="AA92" s="10">
        <v>2336.8962685500001</v>
      </c>
      <c r="AB92" s="10">
        <v>2360.1067389999998</v>
      </c>
      <c r="AC92" s="10">
        <v>2180.5947211500002</v>
      </c>
      <c r="AD92" s="10">
        <v>2419.7709555500001</v>
      </c>
      <c r="AE92" s="10">
        <v>2120.3344158999998</v>
      </c>
      <c r="AF92" s="10">
        <v>2201.2632103999999</v>
      </c>
      <c r="AG92" s="10">
        <v>2395.4923171999999</v>
      </c>
      <c r="AH92" s="10">
        <v>2549.25702675</v>
      </c>
      <c r="AI92" s="10">
        <v>2481.2768328000002</v>
      </c>
      <c r="AJ92" s="10">
        <v>2455.7709830499998</v>
      </c>
      <c r="AK92" s="10">
        <v>762.70233158999997</v>
      </c>
      <c r="AL92" s="10">
        <v>838.18501639999999</v>
      </c>
      <c r="AM92" s="14">
        <v>75</v>
      </c>
      <c r="AN92" s="14">
        <v>35</v>
      </c>
      <c r="AO92" s="14">
        <v>60</v>
      </c>
      <c r="AP92" s="14">
        <v>60</v>
      </c>
      <c r="AQ92" s="14">
        <v>65</v>
      </c>
      <c r="AR92" s="14">
        <v>65</v>
      </c>
      <c r="AS92" s="14">
        <v>85</v>
      </c>
      <c r="AT92" s="14">
        <v>85</v>
      </c>
      <c r="AU92" s="14">
        <v>65</v>
      </c>
      <c r="AV92" s="14">
        <v>65</v>
      </c>
      <c r="AW92" s="14">
        <v>70</v>
      </c>
      <c r="AX92" s="14">
        <v>75</v>
      </c>
    </row>
    <row r="93" spans="1:50" ht="20.100000000000001" customHeight="1">
      <c r="A93" s="1">
        <v>92</v>
      </c>
      <c r="B93" s="2" t="s">
        <v>90</v>
      </c>
      <c r="C93" s="10">
        <v>398.96769999999998</v>
      </c>
      <c r="D93" s="10">
        <v>395.35210000000001</v>
      </c>
      <c r="E93" s="10">
        <v>667.34879999999998</v>
      </c>
      <c r="F93" s="10">
        <v>364.71210000000002</v>
      </c>
      <c r="G93" s="10">
        <v>501.41640000000001</v>
      </c>
      <c r="H93" s="10">
        <v>738.87279999999998</v>
      </c>
      <c r="I93" s="10">
        <v>63.628571508</v>
      </c>
      <c r="J93" s="10">
        <v>63.051536411999997</v>
      </c>
      <c r="K93" s="10">
        <v>151.91326890900001</v>
      </c>
      <c r="L93" s="10">
        <v>130.312015629</v>
      </c>
      <c r="M93" s="10">
        <v>179.15656616999999</v>
      </c>
      <c r="N93" s="10">
        <v>264</v>
      </c>
      <c r="O93" s="7">
        <v>-0.3135</v>
      </c>
      <c r="P93" s="7">
        <v>-9.1000000000000004E-3</v>
      </c>
      <c r="Q93" s="7">
        <v>0.68799999999999994</v>
      </c>
      <c r="R93" s="7">
        <v>-0.45350000000000001</v>
      </c>
      <c r="S93" s="7">
        <v>0.37480000000000002</v>
      </c>
      <c r="T93" s="7">
        <v>0.47360000000000002</v>
      </c>
      <c r="U93" s="7">
        <v>-0.3135</v>
      </c>
      <c r="V93" s="7">
        <v>-9.1000000000000004E-3</v>
      </c>
      <c r="W93" s="7">
        <v>1.4094</v>
      </c>
      <c r="X93" s="7">
        <v>-0.14219999999999999</v>
      </c>
      <c r="Y93" s="7">
        <v>0.37480000000000002</v>
      </c>
      <c r="Z93" s="7">
        <v>0.47360000000000002</v>
      </c>
      <c r="AA93" s="10">
        <v>1066.677134582</v>
      </c>
      <c r="AB93" s="10">
        <v>2667.742135043</v>
      </c>
      <c r="AC93" s="10">
        <v>2281.7886231080001</v>
      </c>
      <c r="AD93" s="10">
        <v>2120.4409540719998</v>
      </c>
      <c r="AE93" s="10">
        <v>4571.7794605890003</v>
      </c>
      <c r="AF93" s="10">
        <v>4209.3601828740002</v>
      </c>
      <c r="AG93" s="10">
        <v>3501.5473892</v>
      </c>
      <c r="AH93" s="10">
        <v>2795.5210992960001</v>
      </c>
      <c r="AI93" s="10">
        <v>2913.7876488699999</v>
      </c>
      <c r="AJ93" s="10">
        <v>3024.193581856</v>
      </c>
      <c r="AK93" s="10">
        <v>682</v>
      </c>
      <c r="AL93" s="10">
        <v>1132.7</v>
      </c>
      <c r="AM93" s="14">
        <v>100</v>
      </c>
      <c r="AN93" s="14">
        <v>65</v>
      </c>
      <c r="AO93" s="14">
        <v>50</v>
      </c>
      <c r="AP93" s="14">
        <v>90</v>
      </c>
      <c r="AQ93" s="14">
        <v>90</v>
      </c>
      <c r="AR93" s="14">
        <v>80</v>
      </c>
      <c r="AS93" s="14">
        <v>85</v>
      </c>
      <c r="AT93" s="14">
        <v>85</v>
      </c>
      <c r="AU93" s="14">
        <v>85</v>
      </c>
      <c r="AV93" s="14">
        <v>85</v>
      </c>
      <c r="AW93" s="14">
        <v>100</v>
      </c>
      <c r="AX93" s="14">
        <v>100</v>
      </c>
    </row>
    <row r="94" spans="1:50" ht="20.100000000000001" customHeight="1">
      <c r="A94" s="1">
        <v>93</v>
      </c>
      <c r="B94" s="2" t="s">
        <v>91</v>
      </c>
      <c r="C94" s="10">
        <v>-176.99700000000001</v>
      </c>
      <c r="D94" s="10">
        <v>245.4769</v>
      </c>
      <c r="E94" s="10">
        <v>734.99680000000001</v>
      </c>
      <c r="F94" s="10">
        <v>265.69409999999999</v>
      </c>
      <c r="G94" s="10">
        <v>335.11590000000001</v>
      </c>
      <c r="H94" s="10">
        <v>614.3895</v>
      </c>
      <c r="I94" s="10">
        <v>-67.164548742999997</v>
      </c>
      <c r="J94" s="10">
        <v>93.150401484</v>
      </c>
      <c r="K94" s="10">
        <v>278.90715175600002</v>
      </c>
      <c r="L94" s="10">
        <v>150.76371235299999</v>
      </c>
      <c r="M94" s="10">
        <v>190.153728301</v>
      </c>
      <c r="N94" s="10">
        <v>348.61445469590001</v>
      </c>
      <c r="O94" s="7"/>
      <c r="P94" s="7"/>
      <c r="Q94" s="7">
        <v>1.9942</v>
      </c>
      <c r="R94" s="7">
        <v>-0.63849999999999996</v>
      </c>
      <c r="S94" s="7">
        <v>0.26129999999999998</v>
      </c>
      <c r="T94" s="7">
        <v>0.83340000000000003</v>
      </c>
      <c r="U94" s="7"/>
      <c r="V94" s="7"/>
      <c r="W94" s="7">
        <v>1.9942</v>
      </c>
      <c r="X94" s="7">
        <v>-0.45939999999999998</v>
      </c>
      <c r="Y94" s="7">
        <v>0.26129999999999998</v>
      </c>
      <c r="Z94" s="7">
        <v>0.83330000000000004</v>
      </c>
      <c r="AA94" s="10">
        <v>2547.6658514999999</v>
      </c>
      <c r="AB94" s="10">
        <v>18245.404936499999</v>
      </c>
      <c r="AC94" s="10">
        <v>6768.0416054999996</v>
      </c>
      <c r="AD94" s="10">
        <v>4580.6517329999997</v>
      </c>
      <c r="AE94" s="10">
        <v>6124.6916430000001</v>
      </c>
      <c r="AF94" s="10">
        <v>11683.207852</v>
      </c>
      <c r="AG94" s="10">
        <v>8492.1995399999996</v>
      </c>
      <c r="AH94" s="10">
        <v>7133.3649023999997</v>
      </c>
      <c r="AI94" s="10">
        <v>9673.2751327999995</v>
      </c>
      <c r="AJ94" s="10">
        <v>14355.6266975</v>
      </c>
      <c r="AK94" s="10">
        <v>1878.5818905000001</v>
      </c>
      <c r="AL94" s="10">
        <v>3216.7498125000002</v>
      </c>
      <c r="AM94" s="14">
        <v>100</v>
      </c>
      <c r="AN94" s="14">
        <v>60</v>
      </c>
      <c r="AO94" s="14">
        <v>70</v>
      </c>
      <c r="AP94" s="14">
        <v>75</v>
      </c>
      <c r="AQ94" s="14">
        <v>75</v>
      </c>
      <c r="AR94" s="14">
        <v>75</v>
      </c>
      <c r="AS94" s="14">
        <v>70</v>
      </c>
      <c r="AT94" s="14">
        <v>80</v>
      </c>
      <c r="AU94" s="14">
        <v>85</v>
      </c>
      <c r="AV94" s="14">
        <v>85</v>
      </c>
      <c r="AW94" s="14">
        <v>100</v>
      </c>
      <c r="AX94" s="14">
        <v>100</v>
      </c>
    </row>
    <row r="95" spans="1:50" ht="20.100000000000001" customHeight="1">
      <c r="A95" s="1">
        <v>94</v>
      </c>
      <c r="B95" s="2" t="s">
        <v>92</v>
      </c>
      <c r="C95" s="10">
        <v>1829.7798</v>
      </c>
      <c r="D95" s="10">
        <v>2159.4018999999998</v>
      </c>
      <c r="E95" s="10">
        <v>1447.5367000000001</v>
      </c>
      <c r="F95" s="10">
        <v>1261.4036000000001</v>
      </c>
      <c r="G95" s="10">
        <v>534.92989999999998</v>
      </c>
      <c r="H95" s="10">
        <v>1261.3968</v>
      </c>
      <c r="I95" s="10">
        <v>147.84175820999999</v>
      </c>
      <c r="J95" s="10">
        <v>174.474422455</v>
      </c>
      <c r="K95" s="10">
        <v>116.957451259</v>
      </c>
      <c r="L95" s="10">
        <v>101.91834240199999</v>
      </c>
      <c r="M95" s="10">
        <v>43.221032080000001</v>
      </c>
      <c r="N95" s="10">
        <v>101.91834240199999</v>
      </c>
      <c r="O95" s="7">
        <v>1.84E-2</v>
      </c>
      <c r="P95" s="7">
        <v>0.18010000000000001</v>
      </c>
      <c r="Q95" s="7">
        <v>-0.32969999999999999</v>
      </c>
      <c r="R95" s="7">
        <v>-0.12859999999999999</v>
      </c>
      <c r="S95" s="7">
        <v>-0.57589999999999997</v>
      </c>
      <c r="T95" s="7">
        <v>1.3581000000000001</v>
      </c>
      <c r="U95" s="7">
        <v>1.84E-2</v>
      </c>
      <c r="V95" s="7">
        <v>0.18010000000000001</v>
      </c>
      <c r="W95" s="7">
        <v>-0.32969999999999999</v>
      </c>
      <c r="X95" s="7">
        <v>-0.12859999999999999</v>
      </c>
      <c r="Y95" s="7">
        <v>-0.57589999999999997</v>
      </c>
      <c r="Z95" s="7">
        <v>1.3581000000000001</v>
      </c>
      <c r="AA95" s="10">
        <v>2133.0557423999999</v>
      </c>
      <c r="AB95" s="10">
        <v>3345.0192324</v>
      </c>
      <c r="AC95" s="10">
        <v>1955.3010972</v>
      </c>
      <c r="AD95" s="10">
        <v>1817.9452349999999</v>
      </c>
      <c r="AE95" s="10">
        <v>3029.9087249999998</v>
      </c>
      <c r="AF95" s="10">
        <v>2504.7245459999999</v>
      </c>
      <c r="AG95" s="10">
        <v>2141.135499</v>
      </c>
      <c r="AH95" s="10">
        <v>1809.8654784</v>
      </c>
      <c r="AI95" s="10">
        <v>1987.6201235999999</v>
      </c>
      <c r="AJ95" s="10">
        <v>2133.0557423999999</v>
      </c>
      <c r="AK95" s="10">
        <v>1203.8837334</v>
      </c>
      <c r="AL95" s="10">
        <v>2343.129414</v>
      </c>
      <c r="AM95" s="14">
        <v>100</v>
      </c>
      <c r="AN95" s="14">
        <v>25</v>
      </c>
      <c r="AO95" s="14">
        <v>25</v>
      </c>
      <c r="AP95" s="14">
        <v>25</v>
      </c>
      <c r="AQ95" s="14">
        <v>25</v>
      </c>
      <c r="AR95" s="14">
        <v>25</v>
      </c>
      <c r="AS95" s="14">
        <v>25</v>
      </c>
      <c r="AT95" s="14">
        <v>25</v>
      </c>
      <c r="AU95" s="14">
        <v>25</v>
      </c>
      <c r="AV95" s="14">
        <v>25</v>
      </c>
      <c r="AW95" s="14">
        <v>100</v>
      </c>
      <c r="AX95" s="14">
        <v>100</v>
      </c>
    </row>
    <row r="96" spans="1:50" ht="20.100000000000001" customHeight="1">
      <c r="A96" s="1">
        <v>95</v>
      </c>
      <c r="B96" s="2" t="s">
        <v>93</v>
      </c>
      <c r="C96" s="10">
        <v>322.04180000000002</v>
      </c>
      <c r="D96" s="10">
        <v>406.1816</v>
      </c>
      <c r="E96" s="10">
        <v>7.2721999999999998</v>
      </c>
      <c r="F96" s="10">
        <v>48.248600000000003</v>
      </c>
      <c r="G96" s="10">
        <v>221.9709</v>
      </c>
      <c r="H96" s="10"/>
      <c r="I96" s="10">
        <v>92.623742948</v>
      </c>
      <c r="J96" s="10">
        <v>154.33965653199999</v>
      </c>
      <c r="K96" s="10">
        <v>2.7631589170000002</v>
      </c>
      <c r="L96" s="10">
        <v>18.332577266000001</v>
      </c>
      <c r="M96" s="10">
        <v>84.340302128000005</v>
      </c>
      <c r="N96" s="10"/>
      <c r="O96" s="7">
        <v>0.1573</v>
      </c>
      <c r="P96" s="7">
        <v>0.26129999999999998</v>
      </c>
      <c r="Q96" s="7">
        <v>-0.98209999999999997</v>
      </c>
      <c r="R96" s="7">
        <v>5.6346999999999996</v>
      </c>
      <c r="S96" s="7">
        <v>3.6006</v>
      </c>
      <c r="T96" s="7"/>
      <c r="U96" s="7">
        <v>0.1573</v>
      </c>
      <c r="V96" s="7">
        <v>0.6663</v>
      </c>
      <c r="W96" s="7">
        <v>-0.98209999999999997</v>
      </c>
      <c r="X96" s="7">
        <v>5.6345999999999998</v>
      </c>
      <c r="Y96" s="7">
        <v>3.6006</v>
      </c>
      <c r="Z96" s="7"/>
      <c r="AA96" s="10">
        <v>3674.970495</v>
      </c>
      <c r="AB96" s="10">
        <v>9012.4276425000007</v>
      </c>
      <c r="AC96" s="10">
        <v>3982.3484085</v>
      </c>
      <c r="AD96" s="10">
        <v>2283.5654357100002</v>
      </c>
      <c r="AE96" s="10">
        <v>2667.3260164200001</v>
      </c>
      <c r="AF96" s="10">
        <v>2492.54396976</v>
      </c>
      <c r="AG96" s="10">
        <v>2629.32991932</v>
      </c>
      <c r="AH96" s="10">
        <v>2849.7072825</v>
      </c>
      <c r="AI96" s="10">
        <v>2492.54396976</v>
      </c>
      <c r="AJ96" s="10">
        <v>3001.6916709000002</v>
      </c>
      <c r="AK96" s="10">
        <v>2459.8785386</v>
      </c>
      <c r="AL96" s="10">
        <v>2552.2201730000002</v>
      </c>
      <c r="AM96" s="14">
        <v>100</v>
      </c>
      <c r="AN96" s="14">
        <v>100</v>
      </c>
      <c r="AO96" s="14">
        <v>100</v>
      </c>
      <c r="AP96" s="14">
        <v>100</v>
      </c>
      <c r="AQ96" s="14">
        <v>100</v>
      </c>
      <c r="AR96" s="14">
        <v>100</v>
      </c>
      <c r="AS96" s="14">
        <v>100</v>
      </c>
      <c r="AT96" s="14">
        <v>100</v>
      </c>
      <c r="AU96" s="14">
        <v>85</v>
      </c>
      <c r="AV96" s="14">
        <v>80</v>
      </c>
      <c r="AW96" s="14">
        <v>100</v>
      </c>
      <c r="AX96" s="14">
        <v>100</v>
      </c>
    </row>
    <row r="97" spans="1:50" ht="20.100000000000001" customHeight="1">
      <c r="A97" s="1">
        <v>96</v>
      </c>
      <c r="B97" s="2" t="s">
        <v>94</v>
      </c>
      <c r="C97" s="10">
        <v>476.8963</v>
      </c>
      <c r="D97" s="10">
        <v>472.97669999999999</v>
      </c>
      <c r="E97" s="10">
        <v>126.7882</v>
      </c>
      <c r="F97" s="10">
        <v>22.035699999999999</v>
      </c>
      <c r="G97" s="10">
        <v>6.8201999999999998</v>
      </c>
      <c r="H97" s="10"/>
      <c r="I97" s="10">
        <v>188.691189417</v>
      </c>
      <c r="J97" s="10">
        <v>187.140334951</v>
      </c>
      <c r="K97" s="10">
        <v>50.165262335999998</v>
      </c>
      <c r="L97" s="10">
        <v>8.7186975459999996</v>
      </c>
      <c r="M97" s="10">
        <v>2.9367331220000001</v>
      </c>
      <c r="N97" s="10"/>
      <c r="O97" s="7">
        <v>-0.312</v>
      </c>
      <c r="P97" s="7">
        <v>-8.2000000000000007E-3</v>
      </c>
      <c r="Q97" s="7">
        <v>-0.7319</v>
      </c>
      <c r="R97" s="7">
        <v>-0.82620000000000005</v>
      </c>
      <c r="S97" s="7">
        <v>-0.6905</v>
      </c>
      <c r="T97" s="7"/>
      <c r="U97" s="7">
        <v>-0.312</v>
      </c>
      <c r="V97" s="7">
        <v>-8.2000000000000007E-3</v>
      </c>
      <c r="W97" s="7">
        <v>-0.7319</v>
      </c>
      <c r="X97" s="7">
        <v>-0.82620000000000005</v>
      </c>
      <c r="Y97" s="7">
        <v>-0.66320000000000001</v>
      </c>
      <c r="Z97" s="7"/>
      <c r="AA97" s="10">
        <v>4359.6400057000001</v>
      </c>
      <c r="AB97" s="10">
        <v>7821.7070690500004</v>
      </c>
      <c r="AC97" s="10">
        <v>3330.1787942699998</v>
      </c>
      <c r="AD97" s="10">
        <v>2176.1397625</v>
      </c>
      <c r="AE97" s="10">
        <v>3149.467729</v>
      </c>
      <c r="AF97" s="10">
        <v>2927.8971350000002</v>
      </c>
      <c r="AG97" s="10">
        <v>2722.1530120000002</v>
      </c>
      <c r="AH97" s="10">
        <v>2463.0036059200002</v>
      </c>
      <c r="AI97" s="10">
        <v>3091.6723584800002</v>
      </c>
      <c r="AJ97" s="10">
        <v>3716.03516068</v>
      </c>
      <c r="AK97" s="10">
        <v>2117.5394313400002</v>
      </c>
      <c r="AL97" s="10">
        <v>3337.5059203300002</v>
      </c>
      <c r="AM97" s="14">
        <v>75</v>
      </c>
      <c r="AN97" s="14">
        <v>75</v>
      </c>
      <c r="AO97" s="14">
        <v>75</v>
      </c>
      <c r="AP97" s="14">
        <v>80</v>
      </c>
      <c r="AQ97" s="14">
        <v>75</v>
      </c>
      <c r="AR97" s="14">
        <v>75</v>
      </c>
      <c r="AS97" s="14">
        <v>75</v>
      </c>
      <c r="AT97" s="14">
        <v>70</v>
      </c>
      <c r="AU97" s="14">
        <v>75</v>
      </c>
      <c r="AV97" s="14">
        <v>75</v>
      </c>
      <c r="AW97" s="14">
        <v>65</v>
      </c>
      <c r="AX97" s="14">
        <v>70</v>
      </c>
    </row>
    <row r="98" spans="1:50" ht="20.100000000000001" customHeight="1">
      <c r="A98" s="1">
        <v>97</v>
      </c>
      <c r="B98" s="2" t="s">
        <v>95</v>
      </c>
      <c r="C98" s="10">
        <v>1382.4434000000001</v>
      </c>
      <c r="D98" s="10">
        <v>2481.5041999999999</v>
      </c>
      <c r="E98" s="10">
        <v>1034.6982</v>
      </c>
      <c r="F98" s="10">
        <v>1044.0669</v>
      </c>
      <c r="G98" s="10">
        <v>1402.3552999999999</v>
      </c>
      <c r="H98" s="10">
        <v>2080.1709000000001</v>
      </c>
      <c r="I98" s="10">
        <v>137.25174928800001</v>
      </c>
      <c r="J98" s="10">
        <v>264.84350181100001</v>
      </c>
      <c r="K98" s="10">
        <v>110.430234145</v>
      </c>
      <c r="L98" s="10">
        <v>111.42490369799999</v>
      </c>
      <c r="M98" s="10">
        <v>149.66215763700001</v>
      </c>
      <c r="N98" s="10">
        <v>222</v>
      </c>
      <c r="O98" s="7">
        <v>0.14369999999999999</v>
      </c>
      <c r="P98" s="7">
        <v>0.79500000000000004</v>
      </c>
      <c r="Q98" s="7">
        <v>-0.58299999999999996</v>
      </c>
      <c r="R98" s="7">
        <v>9.1000000000000004E-3</v>
      </c>
      <c r="S98" s="7">
        <v>0.34320000000000001</v>
      </c>
      <c r="T98" s="7">
        <v>0.48330000000000001</v>
      </c>
      <c r="U98" s="7">
        <v>0.1244</v>
      </c>
      <c r="V98" s="7">
        <v>0.92959999999999998</v>
      </c>
      <c r="W98" s="7">
        <v>-0.58299999999999996</v>
      </c>
      <c r="X98" s="7">
        <v>8.9999999999999993E-3</v>
      </c>
      <c r="Y98" s="7">
        <v>0.34320000000000001</v>
      </c>
      <c r="Z98" s="7">
        <v>0.48330000000000001</v>
      </c>
      <c r="AA98" s="10">
        <v>1826.0159494</v>
      </c>
      <c r="AB98" s="10">
        <v>3283.5578472000002</v>
      </c>
      <c r="AC98" s="10">
        <v>3377.8871423999999</v>
      </c>
      <c r="AD98" s="10">
        <v>1657.5004727999999</v>
      </c>
      <c r="AE98" s="10">
        <v>2717.5306675000002</v>
      </c>
      <c r="AF98" s="10">
        <v>2945.5308156000001</v>
      </c>
      <c r="AG98" s="10">
        <v>2881.4975370000002</v>
      </c>
      <c r="AH98" s="10">
        <v>2684.0615946500002</v>
      </c>
      <c r="AI98" s="10">
        <v>2572.0033570999999</v>
      </c>
      <c r="AJ98" s="10">
        <v>3511.1581099</v>
      </c>
      <c r="AK98" s="10">
        <v>696.14246491999995</v>
      </c>
      <c r="AL98" s="10">
        <v>1349.6639626000001</v>
      </c>
      <c r="AM98" s="14">
        <v>70</v>
      </c>
      <c r="AN98" s="14">
        <v>70</v>
      </c>
      <c r="AO98" s="14">
        <v>70</v>
      </c>
      <c r="AP98" s="14">
        <v>70</v>
      </c>
      <c r="AQ98" s="14">
        <v>70</v>
      </c>
      <c r="AR98" s="14">
        <v>70</v>
      </c>
      <c r="AS98" s="14">
        <v>70</v>
      </c>
      <c r="AT98" s="14">
        <v>65</v>
      </c>
      <c r="AU98" s="14">
        <v>55</v>
      </c>
      <c r="AV98" s="14">
        <v>55</v>
      </c>
      <c r="AW98" s="14">
        <v>70</v>
      </c>
      <c r="AX98" s="14">
        <v>70</v>
      </c>
    </row>
    <row r="99" spans="1:50" ht="20.100000000000001" customHeight="1">
      <c r="A99" s="1">
        <v>98</v>
      </c>
      <c r="B99" s="2" t="s">
        <v>96</v>
      </c>
      <c r="C99" s="10">
        <v>2421.7460000000001</v>
      </c>
      <c r="D99" s="10">
        <v>1950.7817</v>
      </c>
      <c r="E99" s="10">
        <v>873.09730000000002</v>
      </c>
      <c r="F99" s="10">
        <v>2985.6558</v>
      </c>
      <c r="G99" s="10">
        <v>5083.5825999999997</v>
      </c>
      <c r="H99" s="10">
        <v>163.96129999999999</v>
      </c>
      <c r="I99" s="10">
        <v>295.40457425300002</v>
      </c>
      <c r="J99" s="10">
        <v>237.956355285</v>
      </c>
      <c r="K99" s="10">
        <v>106.500409483</v>
      </c>
      <c r="L99" s="10">
        <v>364.19028872199999</v>
      </c>
      <c r="M99" s="10">
        <v>620.09540667099998</v>
      </c>
      <c r="N99" s="10">
        <v>20</v>
      </c>
      <c r="O99" s="7">
        <v>0.26340000000000002</v>
      </c>
      <c r="P99" s="7">
        <v>-0.19450000000000001</v>
      </c>
      <c r="Q99" s="7">
        <v>-0.5524</v>
      </c>
      <c r="R99" s="7">
        <v>2.4196</v>
      </c>
      <c r="S99" s="7">
        <v>0.70269999999999999</v>
      </c>
      <c r="T99" s="7">
        <v>-0.9677</v>
      </c>
      <c r="U99" s="7">
        <v>0.26340000000000002</v>
      </c>
      <c r="V99" s="7">
        <v>-0.19450000000000001</v>
      </c>
      <c r="W99" s="7">
        <v>-0.5524</v>
      </c>
      <c r="X99" s="7">
        <v>2.4196</v>
      </c>
      <c r="Y99" s="7">
        <v>0.70269999999999999</v>
      </c>
      <c r="Z99" s="7">
        <v>-0.9677</v>
      </c>
      <c r="AA99" s="10">
        <v>1604.0356850000001</v>
      </c>
      <c r="AB99" s="10">
        <v>2543.2809149999998</v>
      </c>
      <c r="AC99" s="10">
        <v>1533.8972424999999</v>
      </c>
      <c r="AD99" s="10">
        <v>945.34422500000005</v>
      </c>
      <c r="AE99" s="10">
        <v>1448.5113125</v>
      </c>
      <c r="AF99" s="10">
        <v>1665.025635</v>
      </c>
      <c r="AG99" s="10">
        <v>2768.94373</v>
      </c>
      <c r="AH99" s="10">
        <v>2238.3311650000001</v>
      </c>
      <c r="AI99" s="10">
        <v>2238.3311650000001</v>
      </c>
      <c r="AJ99" s="10">
        <v>2189.539205</v>
      </c>
      <c r="AK99" s="10">
        <v>945.34422500000005</v>
      </c>
      <c r="AL99" s="10">
        <v>1539.9962375</v>
      </c>
      <c r="AM99" s="14">
        <v>50</v>
      </c>
      <c r="AN99" s="14">
        <v>60</v>
      </c>
      <c r="AO99" s="14">
        <v>65</v>
      </c>
      <c r="AP99" s="14">
        <v>70</v>
      </c>
      <c r="AQ99" s="14">
        <v>70</v>
      </c>
      <c r="AR99" s="14">
        <v>70</v>
      </c>
      <c r="AS99" s="14">
        <v>65</v>
      </c>
      <c r="AT99" s="14">
        <v>75</v>
      </c>
      <c r="AU99" s="14">
        <v>75</v>
      </c>
      <c r="AV99" s="14">
        <v>70</v>
      </c>
      <c r="AW99" s="14">
        <v>45</v>
      </c>
      <c r="AX99" s="14">
        <v>45</v>
      </c>
    </row>
    <row r="100" spans="1:50" ht="20.100000000000001" customHeight="1">
      <c r="A100" s="1">
        <v>99</v>
      </c>
      <c r="B100" s="2" t="s">
        <v>97</v>
      </c>
      <c r="C100" s="10">
        <v>4281.7245999999996</v>
      </c>
      <c r="D100" s="10">
        <v>4577.3202000000001</v>
      </c>
      <c r="E100" s="10">
        <v>3609.6783</v>
      </c>
      <c r="F100" s="10">
        <v>279.86849999999998</v>
      </c>
      <c r="G100" s="10">
        <v>256.57670000000002</v>
      </c>
      <c r="H100" s="10">
        <v>1083.9444000000001</v>
      </c>
      <c r="I100" s="10">
        <v>308.82405286400001</v>
      </c>
      <c r="J100" s="10">
        <v>330.292831965</v>
      </c>
      <c r="K100" s="10">
        <v>361.759037132</v>
      </c>
      <c r="L100" s="10">
        <v>28.454692631</v>
      </c>
      <c r="M100" s="10">
        <v>26.067162087</v>
      </c>
      <c r="N100" s="10">
        <v>110.1244187879</v>
      </c>
      <c r="O100" s="7">
        <v>0.31030000000000002</v>
      </c>
      <c r="P100" s="7">
        <v>6.9000000000000006E-2</v>
      </c>
      <c r="Q100" s="7">
        <v>-0.2114</v>
      </c>
      <c r="R100" s="7">
        <v>-0.92249999999999999</v>
      </c>
      <c r="S100" s="7">
        <v>-8.3199999999999996E-2</v>
      </c>
      <c r="T100" s="7">
        <v>3.2246000000000001</v>
      </c>
      <c r="U100" s="7">
        <v>0.92369999999999997</v>
      </c>
      <c r="V100" s="7">
        <v>6.9500000000000006E-2</v>
      </c>
      <c r="W100" s="7">
        <v>9.5299999999999996E-2</v>
      </c>
      <c r="X100" s="7">
        <v>-0.92130000000000001</v>
      </c>
      <c r="Y100" s="7">
        <v>-8.3900000000000002E-2</v>
      </c>
      <c r="Z100" s="7">
        <v>3.2246000000000001</v>
      </c>
      <c r="AA100" s="10">
        <v>2145.6</v>
      </c>
      <c r="AB100" s="10">
        <v>2764.8</v>
      </c>
      <c r="AC100" s="10">
        <v>3360</v>
      </c>
      <c r="AD100" s="10">
        <v>1266.1368981000001</v>
      </c>
      <c r="AE100" s="10">
        <v>1865.4809719</v>
      </c>
      <c r="AF100" s="10">
        <v>1746.4821856999999</v>
      </c>
      <c r="AG100" s="10">
        <v>2273.351795</v>
      </c>
      <c r="AH100" s="10">
        <v>2113.2013344000002</v>
      </c>
      <c r="AI100" s="10">
        <v>1798.2530586</v>
      </c>
      <c r="AJ100" s="10">
        <v>1559.5019463000001</v>
      </c>
      <c r="AK100" s="10">
        <v>619.20000000000005</v>
      </c>
      <c r="AL100" s="10">
        <v>1511.3196</v>
      </c>
      <c r="AM100" s="14">
        <v>65</v>
      </c>
      <c r="AN100" s="14">
        <v>75</v>
      </c>
      <c r="AO100" s="14">
        <v>75</v>
      </c>
      <c r="AP100" s="14">
        <v>55</v>
      </c>
      <c r="AQ100" s="14">
        <v>60</v>
      </c>
      <c r="AR100" s="14">
        <v>60</v>
      </c>
      <c r="AS100" s="14">
        <v>60</v>
      </c>
      <c r="AT100" s="14">
        <v>65</v>
      </c>
      <c r="AU100" s="14">
        <v>75</v>
      </c>
      <c r="AV100" s="14">
        <v>80</v>
      </c>
      <c r="AW100" s="14">
        <v>70</v>
      </c>
      <c r="AX100" s="14">
        <v>65</v>
      </c>
    </row>
    <row r="101" spans="1:50" ht="20.100000000000001" customHeight="1">
      <c r="A101" s="1">
        <v>100</v>
      </c>
      <c r="B101" s="2" t="s">
        <v>98</v>
      </c>
      <c r="C101" s="10">
        <v>753.95399999999995</v>
      </c>
      <c r="D101" s="10">
        <v>789.33109999999999</v>
      </c>
      <c r="E101" s="10">
        <v>881.04750000000001</v>
      </c>
      <c r="F101" s="10">
        <v>383.02839999999998</v>
      </c>
      <c r="G101" s="10">
        <v>320.459</v>
      </c>
      <c r="H101" s="10">
        <v>1702.1465000000001</v>
      </c>
      <c r="I101" s="10">
        <v>257.35541217799999</v>
      </c>
      <c r="J101" s="10">
        <v>282.83153743999998</v>
      </c>
      <c r="K101" s="10">
        <v>315.693407917</v>
      </c>
      <c r="L101" s="10">
        <v>137.24367427199999</v>
      </c>
      <c r="M101" s="10">
        <v>114.823028545</v>
      </c>
      <c r="N101" s="10">
        <v>601.07091657260003</v>
      </c>
      <c r="O101" s="7">
        <v>-2.3900000000000001E-2</v>
      </c>
      <c r="P101" s="7">
        <v>4.6899999999999997E-2</v>
      </c>
      <c r="Q101" s="7">
        <v>0.1162</v>
      </c>
      <c r="R101" s="7">
        <v>-0.56530000000000002</v>
      </c>
      <c r="S101" s="7">
        <v>-0.16339999999999999</v>
      </c>
      <c r="T101" s="7">
        <v>4.3116000000000003</v>
      </c>
      <c r="U101" s="7">
        <v>2.53E-2</v>
      </c>
      <c r="V101" s="7">
        <v>9.9000000000000005E-2</v>
      </c>
      <c r="W101" s="7">
        <v>0.1162</v>
      </c>
      <c r="X101" s="7">
        <v>-0.56530000000000002</v>
      </c>
      <c r="Y101" s="7">
        <v>-0.16339999999999999</v>
      </c>
      <c r="Z101" s="7">
        <v>4.2347999999999999</v>
      </c>
      <c r="AA101" s="10">
        <v>4691.3307524000002</v>
      </c>
      <c r="AB101" s="10">
        <v>7122.1290847</v>
      </c>
      <c r="AC101" s="10">
        <v>7887.4540989999996</v>
      </c>
      <c r="AD101" s="10">
        <v>5150.9904319999996</v>
      </c>
      <c r="AE101" s="10">
        <v>5279.7651927999996</v>
      </c>
      <c r="AF101" s="10">
        <v>4385.0548028499998</v>
      </c>
      <c r="AG101" s="10">
        <v>4777.4916139999996</v>
      </c>
      <c r="AH101" s="10">
        <v>4299.700452</v>
      </c>
      <c r="AI101" s="10">
        <v>5786.6801916499999</v>
      </c>
      <c r="AJ101" s="10">
        <v>5410.4564020999997</v>
      </c>
      <c r="AK101" s="10">
        <v>4485.6168939999998</v>
      </c>
      <c r="AL101" s="10">
        <v>5369.2687224000001</v>
      </c>
      <c r="AM101" s="14">
        <v>30</v>
      </c>
      <c r="AN101" s="14">
        <v>25</v>
      </c>
      <c r="AO101" s="14">
        <v>30</v>
      </c>
      <c r="AP101" s="14">
        <v>30</v>
      </c>
      <c r="AQ101" s="14">
        <v>20</v>
      </c>
      <c r="AR101" s="14">
        <v>20</v>
      </c>
      <c r="AS101" s="14">
        <v>8</v>
      </c>
      <c r="AT101" s="14">
        <v>8</v>
      </c>
      <c r="AU101" s="14">
        <v>3</v>
      </c>
      <c r="AV101" s="14">
        <v>25</v>
      </c>
      <c r="AW101" s="14">
        <v>100</v>
      </c>
      <c r="AX101" s="14">
        <v>30</v>
      </c>
    </row>
    <row r="102" spans="1:50" ht="20.100000000000001" customHeight="1">
      <c r="A102" s="1">
        <v>101</v>
      </c>
      <c r="B102" s="2" t="s">
        <v>99</v>
      </c>
      <c r="C102" s="10">
        <v>0</v>
      </c>
      <c r="D102" s="10">
        <v>933.09</v>
      </c>
      <c r="E102" s="10">
        <v>984.49959999999999</v>
      </c>
      <c r="F102" s="10">
        <v>56.428899999999999</v>
      </c>
      <c r="G102" s="10">
        <v>121.54430000000001</v>
      </c>
      <c r="H102" s="10"/>
      <c r="I102" s="10">
        <v>96.705660866000002</v>
      </c>
      <c r="J102" s="10">
        <v>413.50443955899999</v>
      </c>
      <c r="K102" s="10">
        <v>442.46858978400002</v>
      </c>
      <c r="L102" s="10">
        <v>25.361139253000001</v>
      </c>
      <c r="M102" s="10">
        <v>54.626254023999998</v>
      </c>
      <c r="N102" s="10"/>
      <c r="O102" s="7">
        <v>0</v>
      </c>
      <c r="P102" s="7">
        <v>0</v>
      </c>
      <c r="Q102" s="7">
        <v>5.5100000000000003E-2</v>
      </c>
      <c r="R102" s="7">
        <v>-0.94269999999999998</v>
      </c>
      <c r="S102" s="7">
        <v>1.1538999999999999</v>
      </c>
      <c r="T102" s="7"/>
      <c r="U102" s="7">
        <v>8.5223999999999993</v>
      </c>
      <c r="V102" s="7">
        <v>3.2759</v>
      </c>
      <c r="W102" s="7">
        <v>7.0000000000000007E-2</v>
      </c>
      <c r="X102" s="7">
        <v>-0.94269999999999998</v>
      </c>
      <c r="Y102" s="7">
        <v>1.1538999999999999</v>
      </c>
      <c r="Z102" s="7"/>
      <c r="AA102" s="10"/>
      <c r="AB102" s="10">
        <v>6376.3509400000003</v>
      </c>
      <c r="AC102" s="10">
        <v>3190.7246759999998</v>
      </c>
      <c r="AD102" s="10">
        <v>1865.15610075</v>
      </c>
      <c r="AE102" s="10">
        <v>2696.61123</v>
      </c>
      <c r="AF102" s="10">
        <v>2817.9587353500001</v>
      </c>
      <c r="AG102" s="10">
        <v>2494.3653877500001</v>
      </c>
      <c r="AH102" s="10">
        <v>2494.3653877500001</v>
      </c>
      <c r="AI102" s="10">
        <v>2853.9135517499999</v>
      </c>
      <c r="AJ102" s="10">
        <v>3402.2245018499998</v>
      </c>
      <c r="AK102" s="10"/>
      <c r="AL102" s="10"/>
      <c r="AM102" s="14">
        <v>100</v>
      </c>
      <c r="AN102" s="14">
        <v>22</v>
      </c>
      <c r="AO102" s="14">
        <v>25</v>
      </c>
      <c r="AP102" s="14">
        <v>35</v>
      </c>
      <c r="AQ102" s="14">
        <v>40</v>
      </c>
      <c r="AR102" s="14">
        <v>50</v>
      </c>
      <c r="AS102" s="14">
        <v>50</v>
      </c>
      <c r="AT102" s="14">
        <v>55</v>
      </c>
      <c r="AU102" s="14">
        <v>55</v>
      </c>
      <c r="AV102" s="14">
        <v>50</v>
      </c>
      <c r="AW102" s="14">
        <v>100</v>
      </c>
      <c r="AX102" s="14">
        <v>100</v>
      </c>
    </row>
    <row r="103" spans="1:50" ht="20.100000000000001" customHeight="1">
      <c r="A103" s="1">
        <v>102</v>
      </c>
      <c r="B103" s="2" t="s">
        <v>100</v>
      </c>
      <c r="C103" s="10">
        <v>11.006</v>
      </c>
      <c r="D103" s="10">
        <v>539.14340000000004</v>
      </c>
      <c r="E103" s="10">
        <v>1226.2950000000001</v>
      </c>
      <c r="F103" s="10">
        <v>428.49470000000002</v>
      </c>
      <c r="G103" s="10">
        <v>485.4117</v>
      </c>
      <c r="H103" s="10"/>
      <c r="I103" s="10">
        <v>1.002794564</v>
      </c>
      <c r="J103" s="10">
        <v>49.115727802999999</v>
      </c>
      <c r="K103" s="10">
        <v>111.71476588199999</v>
      </c>
      <c r="L103" s="10">
        <v>40.987323009000001</v>
      </c>
      <c r="M103" s="10">
        <v>46.431500593000003</v>
      </c>
      <c r="N103" s="10"/>
      <c r="O103" s="7">
        <v>-0.97870000000000001</v>
      </c>
      <c r="P103" s="7">
        <v>47.9863</v>
      </c>
      <c r="Q103" s="7">
        <v>1.2745</v>
      </c>
      <c r="R103" s="7">
        <v>-0.65059999999999996</v>
      </c>
      <c r="S103" s="7">
        <v>0.1328</v>
      </c>
      <c r="T103" s="7"/>
      <c r="U103" s="7">
        <v>-0.97399999999999998</v>
      </c>
      <c r="V103" s="7">
        <v>47.978900000000003</v>
      </c>
      <c r="W103" s="7">
        <v>1.2745</v>
      </c>
      <c r="X103" s="7">
        <v>-0.6331</v>
      </c>
      <c r="Y103" s="7">
        <v>0.1328</v>
      </c>
      <c r="Z103" s="7"/>
      <c r="AA103" s="10">
        <v>1396.7349999999999</v>
      </c>
      <c r="AB103" s="10">
        <v>1462.4350752</v>
      </c>
      <c r="AC103" s="10">
        <v>1969.2195072</v>
      </c>
      <c r="AD103" s="10">
        <v>2500.9771317999998</v>
      </c>
      <c r="AE103" s="10">
        <v>2873.4630876000001</v>
      </c>
      <c r="AF103" s="10">
        <v>2869.6264623000002</v>
      </c>
      <c r="AG103" s="10">
        <v>2972.4323947500002</v>
      </c>
      <c r="AH103" s="10">
        <v>2104.3848979999998</v>
      </c>
      <c r="AI103" s="10">
        <v>2090.0368191500002</v>
      </c>
      <c r="AJ103" s="10">
        <v>1903.5117941000001</v>
      </c>
      <c r="AK103" s="10">
        <v>956.33932800000002</v>
      </c>
      <c r="AL103" s="10">
        <v>1352.5370496</v>
      </c>
      <c r="AM103" s="14">
        <v>60</v>
      </c>
      <c r="AN103" s="14">
        <v>60</v>
      </c>
      <c r="AO103" s="14">
        <v>55</v>
      </c>
      <c r="AP103" s="14">
        <v>60</v>
      </c>
      <c r="AQ103" s="14">
        <v>55</v>
      </c>
      <c r="AR103" s="14">
        <v>60</v>
      </c>
      <c r="AS103" s="14">
        <v>60</v>
      </c>
      <c r="AT103" s="14">
        <v>60</v>
      </c>
      <c r="AU103" s="14">
        <v>45</v>
      </c>
      <c r="AV103" s="14">
        <v>45</v>
      </c>
      <c r="AW103" s="14">
        <v>55</v>
      </c>
      <c r="AX103" s="14">
        <v>55</v>
      </c>
    </row>
    <row r="104" spans="1:50" ht="20.100000000000001" customHeight="1">
      <c r="A104" s="1">
        <v>103</v>
      </c>
      <c r="B104" s="2" t="s">
        <v>101</v>
      </c>
      <c r="C104" s="10">
        <v>1686.0418999999999</v>
      </c>
      <c r="D104" s="10">
        <v>2021.5211999999999</v>
      </c>
      <c r="E104" s="10">
        <v>2603.3546000000001</v>
      </c>
      <c r="F104" s="10">
        <v>2875.9207999999999</v>
      </c>
      <c r="G104" s="10">
        <v>2941.4312</v>
      </c>
      <c r="H104" s="10"/>
      <c r="I104" s="10">
        <v>157.85956481599999</v>
      </c>
      <c r="J104" s="10">
        <v>189.12357844499999</v>
      </c>
      <c r="K104" s="10">
        <v>243.55511697399999</v>
      </c>
      <c r="L104" s="10">
        <v>269.054870446</v>
      </c>
      <c r="M104" s="10">
        <v>275.18194918699999</v>
      </c>
      <c r="N104" s="10"/>
      <c r="O104" s="7">
        <v>0.1099</v>
      </c>
      <c r="P104" s="7">
        <v>0.19900000000000001</v>
      </c>
      <c r="Q104" s="7">
        <v>0.2878</v>
      </c>
      <c r="R104" s="7">
        <v>0.1047</v>
      </c>
      <c r="S104" s="7">
        <v>2.2800000000000001E-2</v>
      </c>
      <c r="T104" s="7"/>
      <c r="U104" s="7">
        <v>0.1099</v>
      </c>
      <c r="V104" s="7">
        <v>0.19800000000000001</v>
      </c>
      <c r="W104" s="7">
        <v>0.2878</v>
      </c>
      <c r="X104" s="7">
        <v>0.1047</v>
      </c>
      <c r="Y104" s="7">
        <v>2.2800000000000001E-2</v>
      </c>
      <c r="Z104" s="7"/>
      <c r="AA104" s="10">
        <v>2504.3976164999999</v>
      </c>
      <c r="AB104" s="10">
        <v>2988.0054320999998</v>
      </c>
      <c r="AC104" s="10">
        <v>3098.5198236000001</v>
      </c>
      <c r="AD104" s="10">
        <v>2952.5750493</v>
      </c>
      <c r="AE104" s="10">
        <v>3723.4628315</v>
      </c>
      <c r="AF104" s="10">
        <v>4056.5162908000002</v>
      </c>
      <c r="AG104" s="10">
        <v>3742.1504799999998</v>
      </c>
      <c r="AH104" s="10">
        <v>5388.6966911999998</v>
      </c>
      <c r="AI104" s="10">
        <v>5023.8370193999999</v>
      </c>
      <c r="AJ104" s="10">
        <v>4885.0948453999999</v>
      </c>
      <c r="AK104" s="10">
        <v>2485.3795167500002</v>
      </c>
      <c r="AL104" s="10">
        <v>2561.3289435000002</v>
      </c>
      <c r="AM104" s="14">
        <v>80</v>
      </c>
      <c r="AN104" s="14">
        <v>75</v>
      </c>
      <c r="AO104" s="14">
        <v>75</v>
      </c>
      <c r="AP104" s="14">
        <v>80</v>
      </c>
      <c r="AQ104" s="14">
        <v>80</v>
      </c>
      <c r="AR104" s="14">
        <v>80</v>
      </c>
      <c r="AS104" s="14">
        <v>80</v>
      </c>
      <c r="AT104" s="14">
        <v>80</v>
      </c>
      <c r="AU104" s="14">
        <v>80</v>
      </c>
      <c r="AV104" s="14">
        <v>80</v>
      </c>
      <c r="AW104" s="14">
        <v>80</v>
      </c>
      <c r="AX104" s="14">
        <v>80</v>
      </c>
    </row>
    <row r="105" spans="1:50" ht="20.100000000000001" customHeight="1">
      <c r="A105" s="1">
        <v>104</v>
      </c>
      <c r="B105" s="2" t="s">
        <v>102</v>
      </c>
      <c r="C105" s="10">
        <v>1168.1774</v>
      </c>
      <c r="D105" s="10">
        <v>1461.0959</v>
      </c>
      <c r="E105" s="10">
        <v>1528.4689000000001</v>
      </c>
      <c r="F105" s="10">
        <v>844.96929999999998</v>
      </c>
      <c r="G105" s="10">
        <v>733.43880000000001</v>
      </c>
      <c r="H105" s="10"/>
      <c r="I105" s="10">
        <v>66.391028750999993</v>
      </c>
      <c r="J105" s="10">
        <v>85.960657177000002</v>
      </c>
      <c r="K105" s="10">
        <v>111.6408959</v>
      </c>
      <c r="L105" s="10">
        <v>61.717400130999998</v>
      </c>
      <c r="M105" s="10">
        <v>53.571100053000002</v>
      </c>
      <c r="N105" s="10"/>
      <c r="O105" s="7">
        <v>-0.24959999999999999</v>
      </c>
      <c r="P105" s="7">
        <v>0.25069999999999998</v>
      </c>
      <c r="Q105" s="7">
        <v>4.6100000000000002E-2</v>
      </c>
      <c r="R105" s="7">
        <v>-0.44719999999999999</v>
      </c>
      <c r="S105" s="7">
        <v>-0.13200000000000001</v>
      </c>
      <c r="T105" s="7"/>
      <c r="U105" s="7">
        <v>-0.24959999999999999</v>
      </c>
      <c r="V105" s="7">
        <v>0.29480000000000001</v>
      </c>
      <c r="W105" s="7">
        <v>0.29870000000000002</v>
      </c>
      <c r="X105" s="7">
        <v>-0.44719999999999999</v>
      </c>
      <c r="Y105" s="7">
        <v>-0.13200000000000001</v>
      </c>
      <c r="Z105" s="7"/>
      <c r="AA105" s="10">
        <v>2614.3099040000002</v>
      </c>
      <c r="AB105" s="10">
        <v>2341.5463952</v>
      </c>
      <c r="AC105" s="10">
        <v>1833.329853</v>
      </c>
      <c r="AD105" s="10">
        <v>1789.5052350000001</v>
      </c>
      <c r="AE105" s="10">
        <v>1752.9847199999999</v>
      </c>
      <c r="AF105" s="10">
        <v>1826.02575</v>
      </c>
      <c r="AG105" s="10">
        <v>2096.2775609999999</v>
      </c>
      <c r="AH105" s="10">
        <v>1953.8475524999999</v>
      </c>
      <c r="AI105" s="10">
        <v>1679.9436900000001</v>
      </c>
      <c r="AJ105" s="10">
        <v>2472.4388654999998</v>
      </c>
      <c r="AK105" s="10">
        <v>1167.9145332000001</v>
      </c>
      <c r="AL105" s="10">
        <v>1432.1871647999999</v>
      </c>
      <c r="AM105" s="14">
        <v>30</v>
      </c>
      <c r="AN105" s="14">
        <v>25</v>
      </c>
      <c r="AO105" s="14">
        <v>25</v>
      </c>
      <c r="AP105" s="14">
        <v>20</v>
      </c>
      <c r="AQ105" s="14">
        <v>45</v>
      </c>
      <c r="AR105" s="14">
        <v>45</v>
      </c>
      <c r="AS105" s="14">
        <v>45</v>
      </c>
      <c r="AT105" s="14">
        <v>45</v>
      </c>
      <c r="AU105" s="14">
        <v>40</v>
      </c>
      <c r="AV105" s="14">
        <v>45</v>
      </c>
      <c r="AW105" s="14">
        <v>30</v>
      </c>
      <c r="AX105" s="14">
        <v>30</v>
      </c>
    </row>
    <row r="106" spans="1:50" ht="20.100000000000001" customHeight="1">
      <c r="A106" s="1">
        <v>105</v>
      </c>
      <c r="B106" s="2" t="s">
        <v>103</v>
      </c>
      <c r="C106" s="10">
        <v>122.1533</v>
      </c>
      <c r="D106" s="10">
        <v>76.439400000000006</v>
      </c>
      <c r="E106" s="10">
        <v>36.894500000000001</v>
      </c>
      <c r="F106" s="10">
        <v>340.24430000000001</v>
      </c>
      <c r="G106" s="10">
        <v>308.56</v>
      </c>
      <c r="H106" s="10"/>
      <c r="I106" s="10">
        <v>13.332664479</v>
      </c>
      <c r="J106" s="10">
        <v>8.3430573769999992</v>
      </c>
      <c r="K106" s="10">
        <v>4.3867880299999999</v>
      </c>
      <c r="L106" s="10">
        <v>40.455392250999999</v>
      </c>
      <c r="M106" s="10">
        <v>43.496470383999998</v>
      </c>
      <c r="N106" s="10"/>
      <c r="O106" s="7">
        <v>-0.42170000000000002</v>
      </c>
      <c r="P106" s="7">
        <v>-0.37419999999999998</v>
      </c>
      <c r="Q106" s="7">
        <v>-0.51729999999999998</v>
      </c>
      <c r="R106" s="7">
        <v>8.2220999999999993</v>
      </c>
      <c r="S106" s="7">
        <v>-9.3100000000000002E-2</v>
      </c>
      <c r="T106" s="7"/>
      <c r="U106" s="7">
        <v>-0.36880000000000002</v>
      </c>
      <c r="V106" s="7">
        <v>-0.37419999999999998</v>
      </c>
      <c r="W106" s="7">
        <v>-0.47420000000000001</v>
      </c>
      <c r="X106" s="7">
        <v>8.2220999999999993</v>
      </c>
      <c r="Y106" s="7">
        <v>7.5200000000000003E-2</v>
      </c>
      <c r="Z106" s="7"/>
      <c r="AA106" s="10">
        <v>2379.3758893999998</v>
      </c>
      <c r="AB106" s="10">
        <v>2318.5715085000002</v>
      </c>
      <c r="AC106" s="10">
        <v>2960.6374646999998</v>
      </c>
      <c r="AD106" s="10">
        <v>2853.6264719999999</v>
      </c>
      <c r="AE106" s="10">
        <v>3448.1319870000002</v>
      </c>
      <c r="AF106" s="10">
        <v>2615.8242660000001</v>
      </c>
      <c r="AG106" s="10">
        <v>2401.8022805999999</v>
      </c>
      <c r="AH106" s="10">
        <v>2889.8037380000001</v>
      </c>
      <c r="AI106" s="10">
        <v>3101.2527920000002</v>
      </c>
      <c r="AJ106" s="10">
        <v>2819.3207200000002</v>
      </c>
      <c r="AK106" s="10">
        <v>1689.9953525000001</v>
      </c>
      <c r="AL106" s="10">
        <v>1964.622294</v>
      </c>
      <c r="AM106" s="14">
        <v>100</v>
      </c>
      <c r="AN106" s="14">
        <v>55</v>
      </c>
      <c r="AO106" s="14">
        <v>65</v>
      </c>
      <c r="AP106" s="14">
        <v>75</v>
      </c>
      <c r="AQ106" s="14">
        <v>70</v>
      </c>
      <c r="AR106" s="14">
        <v>85</v>
      </c>
      <c r="AS106" s="14">
        <v>85</v>
      </c>
      <c r="AT106" s="14">
        <v>80</v>
      </c>
      <c r="AU106" s="14">
        <v>80</v>
      </c>
      <c r="AV106" s="14">
        <v>80</v>
      </c>
      <c r="AW106" s="14">
        <v>100</v>
      </c>
      <c r="AX106" s="14">
        <v>100</v>
      </c>
    </row>
    <row r="107" spans="1:50" ht="20.100000000000001" customHeight="1">
      <c r="A107" s="1">
        <v>106</v>
      </c>
      <c r="B107" s="2" t="s">
        <v>104</v>
      </c>
      <c r="C107" s="10">
        <v>311.97190000000001</v>
      </c>
      <c r="D107" s="10">
        <v>470.10509999999999</v>
      </c>
      <c r="E107" s="10">
        <v>317.50580000000002</v>
      </c>
      <c r="F107" s="10">
        <v>787.52210000000002</v>
      </c>
      <c r="G107" s="10">
        <v>956.37879999999996</v>
      </c>
      <c r="H107" s="10">
        <v>1322.59</v>
      </c>
      <c r="I107" s="10">
        <v>31.802656255999999</v>
      </c>
      <c r="J107" s="10">
        <v>48.112229057</v>
      </c>
      <c r="K107" s="10">
        <v>31.307103517000002</v>
      </c>
      <c r="L107" s="10">
        <v>77.651944752999995</v>
      </c>
      <c r="M107" s="10">
        <v>95.447675859</v>
      </c>
      <c r="N107" s="10">
        <v>145.60393005969999</v>
      </c>
      <c r="O107" s="7">
        <v>6.5000000000000002E-2</v>
      </c>
      <c r="P107" s="7">
        <v>0.50690000000000002</v>
      </c>
      <c r="Q107" s="7">
        <v>-0.3246</v>
      </c>
      <c r="R107" s="7">
        <v>1.4802999999999999</v>
      </c>
      <c r="S107" s="7">
        <v>0.21440000000000001</v>
      </c>
      <c r="T107" s="7">
        <v>0.38290000000000002</v>
      </c>
      <c r="U107" s="7">
        <v>6.5000000000000002E-2</v>
      </c>
      <c r="V107" s="7">
        <v>0.51280000000000003</v>
      </c>
      <c r="W107" s="7">
        <v>-0.3493</v>
      </c>
      <c r="X107" s="7">
        <v>1.4802999999999999</v>
      </c>
      <c r="Y107" s="7">
        <v>0.22919999999999999</v>
      </c>
      <c r="Z107" s="7">
        <v>0.52549999999999997</v>
      </c>
      <c r="AA107" s="10">
        <v>809.898368</v>
      </c>
      <c r="AB107" s="10">
        <v>1311.1211183999999</v>
      </c>
      <c r="AC107" s="10">
        <v>794.48059079999996</v>
      </c>
      <c r="AD107" s="10">
        <v>570.15477710000005</v>
      </c>
      <c r="AE107" s="10">
        <v>790.57543835000001</v>
      </c>
      <c r="AF107" s="10">
        <v>1715.7481054499999</v>
      </c>
      <c r="AG107" s="10">
        <v>2011.4553595499999</v>
      </c>
      <c r="AH107" s="10">
        <v>2240.5030713000001</v>
      </c>
      <c r="AI107" s="10">
        <v>2278.8015408000001</v>
      </c>
      <c r="AJ107" s="10">
        <v>2256.8225115</v>
      </c>
      <c r="AK107" s="10">
        <v>289.53866656000002</v>
      </c>
      <c r="AL107" s="10">
        <v>470.24723992000003</v>
      </c>
      <c r="AM107" s="14">
        <v>60</v>
      </c>
      <c r="AN107" s="14">
        <v>60</v>
      </c>
      <c r="AO107" s="14">
        <v>65</v>
      </c>
      <c r="AP107" s="14">
        <v>60</v>
      </c>
      <c r="AQ107" s="14">
        <v>65</v>
      </c>
      <c r="AR107" s="14">
        <v>65</v>
      </c>
      <c r="AS107" s="14">
        <v>70</v>
      </c>
      <c r="AT107" s="14">
        <v>70</v>
      </c>
      <c r="AU107" s="14">
        <v>70</v>
      </c>
      <c r="AV107" s="14">
        <v>70</v>
      </c>
      <c r="AW107" s="14">
        <v>55</v>
      </c>
      <c r="AX107" s="14">
        <v>60</v>
      </c>
    </row>
    <row r="108" spans="1:50" ht="20.100000000000001" customHeight="1">
      <c r="A108" s="1">
        <v>107</v>
      </c>
      <c r="B108" s="2" t="s">
        <v>105</v>
      </c>
      <c r="C108" s="10">
        <v>957.77779999999996</v>
      </c>
      <c r="D108" s="10">
        <v>545.08100000000002</v>
      </c>
      <c r="E108" s="10">
        <v>251.58340000000001</v>
      </c>
      <c r="F108" s="10">
        <v>-203.86510000000001</v>
      </c>
      <c r="G108" s="10">
        <v>58.873699999999999</v>
      </c>
      <c r="H108" s="10">
        <v>1143.2999</v>
      </c>
      <c r="I108" s="10">
        <v>118.6964443</v>
      </c>
      <c r="J108" s="10">
        <v>68.374412602999996</v>
      </c>
      <c r="K108" s="10">
        <v>39.609034956999999</v>
      </c>
      <c r="L108" s="10">
        <v>-32.096317036999999</v>
      </c>
      <c r="M108" s="10">
        <v>9.2690088829999997</v>
      </c>
      <c r="N108" s="10">
        <v>180</v>
      </c>
      <c r="O108" s="7">
        <v>-0.4007</v>
      </c>
      <c r="P108" s="7">
        <v>-0.43090000000000001</v>
      </c>
      <c r="Q108" s="7">
        <v>-0.53839999999999999</v>
      </c>
      <c r="R108" s="7"/>
      <c r="S108" s="7"/>
      <c r="T108" s="7">
        <v>18.419499999999999</v>
      </c>
      <c r="U108" s="7">
        <v>-0.40820000000000001</v>
      </c>
      <c r="V108" s="7">
        <v>-0.42399999999999999</v>
      </c>
      <c r="W108" s="7">
        <v>-0.42070000000000002</v>
      </c>
      <c r="X108" s="7"/>
      <c r="Y108" s="7"/>
      <c r="Z108" s="7">
        <v>18.419599999999999</v>
      </c>
      <c r="AA108" s="10">
        <v>1542.8997615000001</v>
      </c>
      <c r="AB108" s="10">
        <v>4329.5726375000004</v>
      </c>
      <c r="AC108" s="10">
        <v>1967.9875625</v>
      </c>
      <c r="AD108" s="10">
        <v>1479.926647</v>
      </c>
      <c r="AE108" s="10">
        <v>2416.6887267500001</v>
      </c>
      <c r="AF108" s="10">
        <v>2259.2497217499999</v>
      </c>
      <c r="AG108" s="10">
        <v>2377.3289755000001</v>
      </c>
      <c r="AH108" s="10">
        <v>2298.609473</v>
      </c>
      <c r="AI108" s="10">
        <v>2172.658269</v>
      </c>
      <c r="AJ108" s="10">
        <v>2448.1765277499999</v>
      </c>
      <c r="AK108" s="10">
        <v>1156.6873654000001</v>
      </c>
      <c r="AL108" s="10">
        <v>1673.0473724999999</v>
      </c>
      <c r="AM108" s="14">
        <v>75</v>
      </c>
      <c r="AN108" s="14">
        <v>75</v>
      </c>
      <c r="AO108" s="14">
        <v>60</v>
      </c>
      <c r="AP108" s="14">
        <v>65</v>
      </c>
      <c r="AQ108" s="14">
        <v>60</v>
      </c>
      <c r="AR108" s="14">
        <v>60</v>
      </c>
      <c r="AS108" s="14">
        <v>50</v>
      </c>
      <c r="AT108" s="14">
        <v>60</v>
      </c>
      <c r="AU108" s="14">
        <v>55</v>
      </c>
      <c r="AV108" s="14">
        <v>70</v>
      </c>
      <c r="AW108" s="14">
        <v>75</v>
      </c>
      <c r="AX108" s="14">
        <v>75</v>
      </c>
    </row>
    <row r="109" spans="1:50" ht="20.100000000000001" customHeight="1">
      <c r="A109" s="1">
        <v>108</v>
      </c>
      <c r="B109" s="2" t="s">
        <v>106</v>
      </c>
      <c r="C109" s="10">
        <v>103.6125</v>
      </c>
      <c r="D109" s="10">
        <v>219.59129999999999</v>
      </c>
      <c r="E109" s="10">
        <v>405.72399999999999</v>
      </c>
      <c r="F109" s="10">
        <v>628.27319999999997</v>
      </c>
      <c r="G109" s="10">
        <v>910.21379999999999</v>
      </c>
      <c r="H109" s="10"/>
      <c r="I109" s="10">
        <v>30.565120259</v>
      </c>
      <c r="J109" s="10">
        <v>64.778233440999998</v>
      </c>
      <c r="K109" s="10">
        <v>119.68633032300001</v>
      </c>
      <c r="L109" s="10">
        <v>185.33712151200001</v>
      </c>
      <c r="M109" s="10">
        <v>268.50805156199999</v>
      </c>
      <c r="N109" s="10"/>
      <c r="O109" s="7">
        <v>-0.70850000000000002</v>
      </c>
      <c r="P109" s="7">
        <v>1.1194</v>
      </c>
      <c r="Q109" s="7">
        <v>0.84760000000000002</v>
      </c>
      <c r="R109" s="7">
        <v>0.54849999999999999</v>
      </c>
      <c r="S109" s="7">
        <v>0.44879999999999998</v>
      </c>
      <c r="T109" s="7"/>
      <c r="U109" s="7">
        <v>-0.70850000000000002</v>
      </c>
      <c r="V109" s="7">
        <v>1.1194</v>
      </c>
      <c r="W109" s="7">
        <v>0.84760000000000002</v>
      </c>
      <c r="X109" s="7">
        <v>0.54849999999999999</v>
      </c>
      <c r="Y109" s="7">
        <v>0.44879999999999998</v>
      </c>
      <c r="Z109" s="7"/>
      <c r="AA109" s="10">
        <v>6549.1050999999998</v>
      </c>
      <c r="AB109" s="10">
        <v>9339.5933600000008</v>
      </c>
      <c r="AC109" s="10">
        <v>8189.2288120000003</v>
      </c>
      <c r="AD109" s="10">
        <v>5182.3353399999996</v>
      </c>
      <c r="AE109" s="10">
        <v>4772.3044120000004</v>
      </c>
      <c r="AF109" s="10">
        <v>7904.4851120000003</v>
      </c>
      <c r="AG109" s="10">
        <v>7175.5412399999996</v>
      </c>
      <c r="AH109" s="10">
        <v>8428.4135200000001</v>
      </c>
      <c r="AI109" s="10">
        <v>11275.85052</v>
      </c>
      <c r="AJ109" s="10">
        <v>17937.732128399999</v>
      </c>
      <c r="AK109" s="10">
        <v>2670.8959060000002</v>
      </c>
      <c r="AL109" s="10">
        <v>3206.214062</v>
      </c>
      <c r="AM109" s="14">
        <v>50</v>
      </c>
      <c r="AN109" s="14">
        <v>50</v>
      </c>
      <c r="AO109" s="14">
        <v>55</v>
      </c>
      <c r="AP109" s="14">
        <v>55</v>
      </c>
      <c r="AQ109" s="14">
        <v>55</v>
      </c>
      <c r="AR109" s="14">
        <v>60</v>
      </c>
      <c r="AS109" s="14">
        <v>55</v>
      </c>
      <c r="AT109" s="14">
        <v>60</v>
      </c>
      <c r="AU109" s="14">
        <v>65</v>
      </c>
      <c r="AV109" s="14">
        <v>65</v>
      </c>
      <c r="AW109" s="14">
        <v>55</v>
      </c>
      <c r="AX109" s="14">
        <v>55</v>
      </c>
    </row>
    <row r="110" spans="1:50" ht="20.100000000000001" customHeight="1">
      <c r="A110" s="1">
        <v>109</v>
      </c>
      <c r="B110" s="2" t="s">
        <v>107</v>
      </c>
      <c r="C110" s="10">
        <v>929.47490000000005</v>
      </c>
      <c r="D110" s="10">
        <v>2908.9353999999998</v>
      </c>
      <c r="E110" s="10">
        <v>5210.4467000000004</v>
      </c>
      <c r="F110" s="10">
        <v>2439.9755</v>
      </c>
      <c r="G110" s="10">
        <v>4123.7129999999997</v>
      </c>
      <c r="H110" s="10">
        <v>6789.2309999999998</v>
      </c>
      <c r="I110" s="10">
        <v>138.29628713599999</v>
      </c>
      <c r="J110" s="10">
        <v>445.5134971</v>
      </c>
      <c r="K110" s="10">
        <v>821.93712283599996</v>
      </c>
      <c r="L110" s="10">
        <v>384.90062727999998</v>
      </c>
      <c r="M110" s="10">
        <v>650.49931206700001</v>
      </c>
      <c r="N110" s="10">
        <v>1146.4363275825001</v>
      </c>
      <c r="O110" s="7">
        <v>0.159</v>
      </c>
      <c r="P110" s="7">
        <v>2.1297000000000001</v>
      </c>
      <c r="Q110" s="7">
        <v>0.79120000000000001</v>
      </c>
      <c r="R110" s="7">
        <v>-0.53169999999999995</v>
      </c>
      <c r="S110" s="7">
        <v>0.69010000000000005</v>
      </c>
      <c r="T110" s="7">
        <v>0.64639999999999997</v>
      </c>
      <c r="U110" s="7">
        <v>0.1394</v>
      </c>
      <c r="V110" s="7">
        <v>2.2214</v>
      </c>
      <c r="W110" s="7">
        <v>0.84489999999999998</v>
      </c>
      <c r="X110" s="7">
        <v>-0.53169999999999995</v>
      </c>
      <c r="Y110" s="7">
        <v>0.69</v>
      </c>
      <c r="Z110" s="7">
        <v>0.76239999999999997</v>
      </c>
      <c r="AA110" s="10">
        <v>1445.480339</v>
      </c>
      <c r="AB110" s="10">
        <v>3307.4705177999999</v>
      </c>
      <c r="AC110" s="10">
        <v>4951.4467324999996</v>
      </c>
      <c r="AD110" s="10">
        <v>2268.6155107499999</v>
      </c>
      <c r="AE110" s="10">
        <v>3165.5100149999998</v>
      </c>
      <c r="AF110" s="10">
        <v>3967.4347256000001</v>
      </c>
      <c r="AG110" s="10">
        <v>5490.7748677500003</v>
      </c>
      <c r="AH110" s="10">
        <v>6006.4830044999999</v>
      </c>
      <c r="AI110" s="10">
        <v>8767.8732149999996</v>
      </c>
      <c r="AJ110" s="10">
        <v>11195.498355600001</v>
      </c>
      <c r="AK110" s="10">
        <v>476.29761989999997</v>
      </c>
      <c r="AL110" s="10">
        <v>848.33108419999996</v>
      </c>
      <c r="AM110" s="14">
        <v>75</v>
      </c>
      <c r="AN110" s="14">
        <v>75</v>
      </c>
      <c r="AO110" s="14">
        <v>75</v>
      </c>
      <c r="AP110" s="14">
        <v>85</v>
      </c>
      <c r="AQ110" s="14">
        <v>75</v>
      </c>
      <c r="AR110" s="14">
        <v>65</v>
      </c>
      <c r="AS110" s="14">
        <v>80</v>
      </c>
      <c r="AT110" s="14">
        <v>65</v>
      </c>
      <c r="AU110" s="14">
        <v>55</v>
      </c>
      <c r="AV110" s="14">
        <v>65</v>
      </c>
      <c r="AW110" s="14">
        <v>80</v>
      </c>
      <c r="AX110" s="14">
        <v>70</v>
      </c>
    </row>
    <row r="111" spans="1:50" ht="20.100000000000001" customHeight="1">
      <c r="A111" s="1">
        <v>110</v>
      </c>
      <c r="B111" s="2" t="s">
        <v>108</v>
      </c>
      <c r="C111" s="10">
        <v>1231.4902999999999</v>
      </c>
      <c r="D111" s="10">
        <v>2120.2873</v>
      </c>
      <c r="E111" s="10">
        <v>1302.3489</v>
      </c>
      <c r="F111" s="10">
        <v>1444.1267</v>
      </c>
      <c r="G111" s="10">
        <v>1640.7221</v>
      </c>
      <c r="H111" s="10">
        <v>1902.9087999999999</v>
      </c>
      <c r="I111" s="10">
        <v>186.001203817</v>
      </c>
      <c r="J111" s="10">
        <v>323.62876675799998</v>
      </c>
      <c r="K111" s="10">
        <v>197.366644761</v>
      </c>
      <c r="L111" s="10">
        <v>218.87329151200001</v>
      </c>
      <c r="M111" s="10">
        <v>302.12715785199998</v>
      </c>
      <c r="N111" s="10">
        <v>352.15049102910001</v>
      </c>
      <c r="O111" s="7">
        <v>0.34200000000000003</v>
      </c>
      <c r="P111" s="7">
        <v>0.72170000000000001</v>
      </c>
      <c r="Q111" s="7">
        <v>-0.38579999999999998</v>
      </c>
      <c r="R111" s="7">
        <v>0.1089</v>
      </c>
      <c r="S111" s="7">
        <v>0.1361</v>
      </c>
      <c r="T111" s="7">
        <v>0.1598</v>
      </c>
      <c r="U111" s="7">
        <v>0.38669999999999999</v>
      </c>
      <c r="V111" s="7">
        <v>0.7399</v>
      </c>
      <c r="W111" s="7">
        <v>-0.3901</v>
      </c>
      <c r="X111" s="7">
        <v>0.109</v>
      </c>
      <c r="Y111" s="7">
        <v>0.38040000000000002</v>
      </c>
      <c r="Z111" s="7">
        <v>0.1656</v>
      </c>
      <c r="AA111" s="10">
        <v>3860</v>
      </c>
      <c r="AB111" s="10">
        <v>6800</v>
      </c>
      <c r="AC111" s="10">
        <v>4500</v>
      </c>
      <c r="AD111" s="10">
        <v>2620</v>
      </c>
      <c r="AE111" s="10">
        <v>3615</v>
      </c>
      <c r="AF111" s="10">
        <v>5351.9982606000003</v>
      </c>
      <c r="AG111" s="10">
        <v>6974.4521912500004</v>
      </c>
      <c r="AH111" s="10">
        <v>7631.4005912000002</v>
      </c>
      <c r="AI111" s="10">
        <v>6902.4578460499997</v>
      </c>
      <c r="AJ111" s="10">
        <v>5777.5462023</v>
      </c>
      <c r="AK111" s="10">
        <v>1840</v>
      </c>
      <c r="AL111" s="10">
        <v>3200</v>
      </c>
      <c r="AM111" s="14">
        <v>40</v>
      </c>
      <c r="AN111" s="14">
        <v>40</v>
      </c>
      <c r="AO111" s="14">
        <v>40</v>
      </c>
      <c r="AP111" s="14">
        <v>40</v>
      </c>
      <c r="AQ111" s="14">
        <v>40</v>
      </c>
      <c r="AR111" s="14">
        <v>45</v>
      </c>
      <c r="AS111" s="14">
        <v>40</v>
      </c>
      <c r="AT111" s="14">
        <v>40</v>
      </c>
      <c r="AU111" s="14">
        <v>40</v>
      </c>
      <c r="AV111" s="14">
        <v>45</v>
      </c>
      <c r="AW111" s="14">
        <v>40</v>
      </c>
      <c r="AX111" s="14">
        <v>40</v>
      </c>
    </row>
    <row r="112" spans="1:50" ht="20.100000000000001" customHeight="1">
      <c r="A112" s="1">
        <v>111</v>
      </c>
      <c r="B112" s="2" t="s">
        <v>109</v>
      </c>
      <c r="C112" s="10">
        <v>1327.6189999999999</v>
      </c>
      <c r="D112" s="10">
        <v>3163.402</v>
      </c>
      <c r="E112" s="10">
        <v>3225.4214999999999</v>
      </c>
      <c r="F112" s="10">
        <v>1631.6797999999999</v>
      </c>
      <c r="G112" s="10">
        <v>2025.2755999999999</v>
      </c>
      <c r="H112" s="10">
        <v>2364.3741</v>
      </c>
      <c r="I112" s="10">
        <v>267.17177142899999</v>
      </c>
      <c r="J112" s="10">
        <v>654.37280396599999</v>
      </c>
      <c r="K112" s="10">
        <v>683.78328708200002</v>
      </c>
      <c r="L112" s="10">
        <v>354.39247806600002</v>
      </c>
      <c r="M112" s="10">
        <v>443.87701827699999</v>
      </c>
      <c r="N112" s="10">
        <v>522.9262541155</v>
      </c>
      <c r="O112" s="7">
        <v>0.57920000000000005</v>
      </c>
      <c r="P112" s="7">
        <v>1.3828</v>
      </c>
      <c r="Q112" s="7">
        <v>1.9599999999999999E-2</v>
      </c>
      <c r="R112" s="7">
        <v>-0.49409999999999998</v>
      </c>
      <c r="S112" s="7">
        <v>0.2412</v>
      </c>
      <c r="T112" s="7">
        <v>0.16739999999999999</v>
      </c>
      <c r="U112" s="7">
        <v>0.62460000000000004</v>
      </c>
      <c r="V112" s="7">
        <v>1.4493</v>
      </c>
      <c r="W112" s="7">
        <v>4.4900000000000002E-2</v>
      </c>
      <c r="X112" s="7">
        <v>-0.48170000000000002</v>
      </c>
      <c r="Y112" s="7">
        <v>0.2525</v>
      </c>
      <c r="Z112" s="7">
        <v>0.17810000000000001</v>
      </c>
      <c r="AA112" s="10">
        <v>5728.3560287999999</v>
      </c>
      <c r="AB112" s="10">
        <v>10952.828888399999</v>
      </c>
      <c r="AC112" s="10">
        <v>10509.316495999999</v>
      </c>
      <c r="AD112" s="10">
        <v>6156.0991434999996</v>
      </c>
      <c r="AE112" s="10">
        <v>6950.2357184000002</v>
      </c>
      <c r="AF112" s="10">
        <v>8737.9165401999999</v>
      </c>
      <c r="AG112" s="10">
        <v>10223.6603688</v>
      </c>
      <c r="AH112" s="10">
        <v>8810.5817399999996</v>
      </c>
      <c r="AI112" s="10">
        <v>9643.4228000000003</v>
      </c>
      <c r="AJ112" s="10">
        <v>9620.8384499999993</v>
      </c>
      <c r="AK112" s="10">
        <v>1646.9106474</v>
      </c>
      <c r="AL112" s="10">
        <v>3685.1238245999998</v>
      </c>
      <c r="AM112" s="14">
        <v>50</v>
      </c>
      <c r="AN112" s="14">
        <v>60</v>
      </c>
      <c r="AO112" s="14">
        <v>55</v>
      </c>
      <c r="AP112" s="14">
        <v>55</v>
      </c>
      <c r="AQ112" s="14">
        <v>55</v>
      </c>
      <c r="AR112" s="14">
        <v>55</v>
      </c>
      <c r="AS112" s="14">
        <v>60</v>
      </c>
      <c r="AT112" s="14">
        <v>55</v>
      </c>
      <c r="AU112" s="14">
        <v>60</v>
      </c>
      <c r="AV112" s="14">
        <v>60</v>
      </c>
      <c r="AW112" s="14">
        <v>50</v>
      </c>
      <c r="AX112" s="14">
        <v>50</v>
      </c>
    </row>
    <row r="113" spans="1:50" ht="20.100000000000001" customHeight="1">
      <c r="A113" s="1">
        <v>112</v>
      </c>
      <c r="B113" s="2" t="s">
        <v>110</v>
      </c>
      <c r="C113" s="10">
        <v>1075.0396000000001</v>
      </c>
      <c r="D113" s="10">
        <v>889.12480000000005</v>
      </c>
      <c r="E113" s="10">
        <v>399.18779999999998</v>
      </c>
      <c r="F113" s="10">
        <v>757.0752</v>
      </c>
      <c r="G113" s="10">
        <v>964.17759999999998</v>
      </c>
      <c r="H113" s="10"/>
      <c r="I113" s="10">
        <v>262.24081873699998</v>
      </c>
      <c r="J113" s="10">
        <v>290.241012297</v>
      </c>
      <c r="K113" s="10">
        <v>152.59933171599999</v>
      </c>
      <c r="L113" s="10">
        <v>289.41054868399999</v>
      </c>
      <c r="M113" s="10">
        <v>368.58050409100002</v>
      </c>
      <c r="N113" s="10"/>
      <c r="O113" s="7">
        <v>-0.53839999999999999</v>
      </c>
      <c r="P113" s="7">
        <v>-0.1729</v>
      </c>
      <c r="Q113" s="7">
        <v>-0.55100000000000005</v>
      </c>
      <c r="R113" s="7">
        <v>0.89649999999999996</v>
      </c>
      <c r="S113" s="7">
        <v>0.27360000000000001</v>
      </c>
      <c r="T113" s="7"/>
      <c r="U113" s="7">
        <v>-0.43049999999999999</v>
      </c>
      <c r="V113" s="7">
        <v>0.10680000000000001</v>
      </c>
      <c r="W113" s="7">
        <v>-0.47420000000000001</v>
      </c>
      <c r="X113" s="7">
        <v>0.89649999999999996</v>
      </c>
      <c r="Y113" s="7">
        <v>0.27360000000000001</v>
      </c>
      <c r="Z113" s="7"/>
      <c r="AA113" s="10">
        <v>5786.819493</v>
      </c>
      <c r="AB113" s="10">
        <v>6593.9768192000001</v>
      </c>
      <c r="AC113" s="10">
        <v>3688.7098047999998</v>
      </c>
      <c r="AD113" s="10">
        <v>2610.9348076800002</v>
      </c>
      <c r="AE113" s="10">
        <v>4128.5645568</v>
      </c>
      <c r="AF113" s="10">
        <v>3612.4939872</v>
      </c>
      <c r="AG113" s="10">
        <v>4224.1331808000004</v>
      </c>
      <c r="AH113" s="10">
        <v>3333.4336051199998</v>
      </c>
      <c r="AI113" s="10">
        <v>2771.490096</v>
      </c>
      <c r="AJ113" s="10">
        <v>3224.7529586999999</v>
      </c>
      <c r="AK113" s="10">
        <v>2062.9597107999998</v>
      </c>
      <c r="AL113" s="10">
        <v>3193.3436256</v>
      </c>
      <c r="AM113" s="14">
        <v>50</v>
      </c>
      <c r="AN113" s="14">
        <v>50</v>
      </c>
      <c r="AO113" s="14">
        <v>55</v>
      </c>
      <c r="AP113" s="14">
        <v>50</v>
      </c>
      <c r="AQ113" s="14">
        <v>50</v>
      </c>
      <c r="AR113" s="14">
        <v>50</v>
      </c>
      <c r="AS113" s="14">
        <v>50</v>
      </c>
      <c r="AT113" s="14">
        <v>50</v>
      </c>
      <c r="AU113" s="14">
        <v>50</v>
      </c>
      <c r="AV113" s="14">
        <v>50</v>
      </c>
      <c r="AW113" s="14">
        <v>55</v>
      </c>
      <c r="AX113" s="14">
        <v>50</v>
      </c>
    </row>
    <row r="114" spans="1:50" ht="20.100000000000001" customHeight="1">
      <c r="A114" s="1">
        <v>113</v>
      </c>
      <c r="B114" s="2" t="s">
        <v>111</v>
      </c>
      <c r="C114" s="10">
        <v>2.3799000000000001</v>
      </c>
      <c r="D114" s="10">
        <v>2.7490999999999999</v>
      </c>
      <c r="E114" s="10">
        <v>1.44E-2</v>
      </c>
      <c r="F114" s="10">
        <v>-1202.4984999999999</v>
      </c>
      <c r="G114" s="10">
        <v>-4366.4174000000003</v>
      </c>
      <c r="H114" s="10"/>
      <c r="I114" s="10">
        <v>1.212</v>
      </c>
      <c r="J114" s="10">
        <v>1.4</v>
      </c>
      <c r="K114" s="10">
        <v>8.0000000000000002E-3</v>
      </c>
      <c r="L114" s="10">
        <v>-669.55600000000004</v>
      </c>
      <c r="M114" s="10">
        <v>-5128.9380000000001</v>
      </c>
      <c r="N114" s="10"/>
      <c r="O114" s="7">
        <v>-0.97189999999999999</v>
      </c>
      <c r="P114" s="7">
        <v>0.15509999999999999</v>
      </c>
      <c r="Q114" s="7">
        <v>-0.99480000000000002</v>
      </c>
      <c r="R114" s="7"/>
      <c r="S114" s="7">
        <v>-2.6311</v>
      </c>
      <c r="T114" s="7"/>
      <c r="U114" s="7">
        <v>-0.97189999999999999</v>
      </c>
      <c r="V114" s="7">
        <v>0.15509999999999999</v>
      </c>
      <c r="W114" s="7">
        <v>-0.99429999999999996</v>
      </c>
      <c r="X114" s="7"/>
      <c r="Y114" s="7">
        <v>-6.6601999999999997</v>
      </c>
      <c r="Z114" s="7"/>
      <c r="AA114" s="10">
        <v>7851.3092291000003</v>
      </c>
      <c r="AB114" s="10">
        <v>12977.0344253</v>
      </c>
      <c r="AC114" s="10">
        <v>18040.436218800001</v>
      </c>
      <c r="AD114" s="10">
        <v>10857.6699465</v>
      </c>
      <c r="AE114" s="10">
        <v>8519.0948810999998</v>
      </c>
      <c r="AF114" s="10">
        <v>5846.4376634999999</v>
      </c>
      <c r="AG114" s="10">
        <v>5790.7573048000004</v>
      </c>
      <c r="AH114" s="10">
        <v>10454.231483899999</v>
      </c>
      <c r="AI114" s="10">
        <v>13978.1297369</v>
      </c>
      <c r="AJ114" s="10">
        <v>27137.321789099999</v>
      </c>
      <c r="AK114" s="10">
        <v>3457.8304895000001</v>
      </c>
      <c r="AL114" s="10">
        <v>4068.0358700000002</v>
      </c>
      <c r="AM114" s="14">
        <v>100</v>
      </c>
      <c r="AN114" s="14">
        <v>100</v>
      </c>
      <c r="AO114" s="14">
        <v>100</v>
      </c>
      <c r="AP114" s="14">
        <v>85</v>
      </c>
      <c r="AQ114" s="14">
        <v>90</v>
      </c>
      <c r="AR114" s="14">
        <v>100</v>
      </c>
      <c r="AS114" s="14">
        <v>100</v>
      </c>
      <c r="AT114" s="14">
        <v>50</v>
      </c>
      <c r="AU114" s="14">
        <v>50</v>
      </c>
      <c r="AV114" s="14">
        <v>50</v>
      </c>
      <c r="AW114" s="14">
        <v>100</v>
      </c>
      <c r="AX114" s="14">
        <v>100</v>
      </c>
    </row>
    <row r="115" spans="1:50" ht="20.100000000000001" customHeight="1">
      <c r="A115" s="1">
        <v>114</v>
      </c>
      <c r="B115" s="2" t="s">
        <v>112</v>
      </c>
      <c r="C115" s="10">
        <v>614.5752</v>
      </c>
      <c r="D115" s="10">
        <v>1072.0767000000001</v>
      </c>
      <c r="E115" s="10">
        <v>295.83699999999999</v>
      </c>
      <c r="F115" s="10">
        <v>916.42229999999995</v>
      </c>
      <c r="G115" s="10">
        <v>433.13510000000002</v>
      </c>
      <c r="H115" s="10">
        <v>3464.2583</v>
      </c>
      <c r="I115" s="10">
        <v>328.42356920100002</v>
      </c>
      <c r="J115" s="10">
        <v>735.74699079100003</v>
      </c>
      <c r="K115" s="10">
        <v>311.98538387100001</v>
      </c>
      <c r="L115" s="10">
        <v>966.42346147900003</v>
      </c>
      <c r="M115" s="10">
        <v>663.31995873100004</v>
      </c>
      <c r="N115" s="10">
        <v>5305.2691440726003</v>
      </c>
      <c r="O115" s="7">
        <v>1.8222</v>
      </c>
      <c r="P115" s="7">
        <v>0.74439999999999995</v>
      </c>
      <c r="Q115" s="7">
        <v>-0.72409999999999997</v>
      </c>
      <c r="R115" s="7">
        <v>2.0977000000000001</v>
      </c>
      <c r="S115" s="7">
        <v>-0.52739999999999998</v>
      </c>
      <c r="T115" s="7">
        <v>6.9981</v>
      </c>
      <c r="U115" s="7">
        <v>1.8222</v>
      </c>
      <c r="V115" s="7">
        <v>1.2402</v>
      </c>
      <c r="W115" s="7">
        <v>-0.57599999999999996</v>
      </c>
      <c r="X115" s="7">
        <v>2.0977000000000001</v>
      </c>
      <c r="Y115" s="7">
        <v>-0.31359999999999999</v>
      </c>
      <c r="Z115" s="7">
        <v>6.9981</v>
      </c>
      <c r="AA115" s="10">
        <v>3608.06104375</v>
      </c>
      <c r="AB115" s="10">
        <v>9061.6425569999992</v>
      </c>
      <c r="AC115" s="10">
        <v>4915.2545990999997</v>
      </c>
      <c r="AD115" s="10">
        <v>3783.9047285000001</v>
      </c>
      <c r="AE115" s="10">
        <v>7230.0030299999999</v>
      </c>
      <c r="AF115" s="10">
        <v>11447.5047975</v>
      </c>
      <c r="AG115" s="10">
        <v>10978.89349</v>
      </c>
      <c r="AH115" s="10">
        <v>14366.35475405</v>
      </c>
      <c r="AI115" s="10">
        <v>19525.7306895</v>
      </c>
      <c r="AJ115" s="10">
        <v>38285.746449999999</v>
      </c>
      <c r="AK115" s="10">
        <v>812.76046599999995</v>
      </c>
      <c r="AL115" s="10"/>
      <c r="AM115" s="14">
        <v>66</v>
      </c>
      <c r="AN115" s="14">
        <v>72</v>
      </c>
      <c r="AO115" s="14">
        <v>75</v>
      </c>
      <c r="AP115" s="14">
        <v>75</v>
      </c>
      <c r="AQ115" s="14">
        <v>100</v>
      </c>
      <c r="AR115" s="14">
        <v>95</v>
      </c>
      <c r="AS115" s="14">
        <v>95</v>
      </c>
      <c r="AT115" s="14">
        <v>95</v>
      </c>
      <c r="AU115" s="14">
        <v>95</v>
      </c>
      <c r="AV115" s="14">
        <v>100</v>
      </c>
      <c r="AW115" s="14">
        <v>78</v>
      </c>
      <c r="AX115" s="14">
        <v>75</v>
      </c>
    </row>
    <row r="116" spans="1:50" ht="20.100000000000001" customHeight="1">
      <c r="A116" s="1">
        <v>115</v>
      </c>
      <c r="B116" s="2" t="s">
        <v>113</v>
      </c>
      <c r="C116" s="10">
        <v>537.94899999999996</v>
      </c>
      <c r="D116" s="10">
        <v>2630.951</v>
      </c>
      <c r="E116" s="10">
        <v>963.05989999999997</v>
      </c>
      <c r="F116" s="10">
        <v>1346.4802999999999</v>
      </c>
      <c r="G116" s="10">
        <v>1685.8795</v>
      </c>
      <c r="H116" s="10">
        <v>1560.7198000000001</v>
      </c>
      <c r="I116" s="10">
        <v>170.549238578</v>
      </c>
      <c r="J116" s="10">
        <v>845.97504290200004</v>
      </c>
      <c r="K116" s="10">
        <v>318.22540074099999</v>
      </c>
      <c r="L116" s="10">
        <v>444.91759094899999</v>
      </c>
      <c r="M116" s="10">
        <v>567.31749433699997</v>
      </c>
      <c r="N116" s="10">
        <v>540.78630233240006</v>
      </c>
      <c r="O116" s="7">
        <v>-0.2041</v>
      </c>
      <c r="P116" s="7">
        <v>3.8906999999999998</v>
      </c>
      <c r="Q116" s="7">
        <v>-0.63390000000000002</v>
      </c>
      <c r="R116" s="7">
        <v>0.39810000000000001</v>
      </c>
      <c r="S116" s="7">
        <v>0.25209999999999999</v>
      </c>
      <c r="T116" s="7">
        <v>-7.4200000000000002E-2</v>
      </c>
      <c r="U116" s="7">
        <v>-0.2041</v>
      </c>
      <c r="V116" s="7">
        <v>3.9603000000000002</v>
      </c>
      <c r="W116" s="7">
        <v>-0.62380000000000002</v>
      </c>
      <c r="X116" s="7">
        <v>0.39810000000000001</v>
      </c>
      <c r="Y116" s="7">
        <v>0.27510000000000001</v>
      </c>
      <c r="Z116" s="7">
        <v>-4.6800000000000001E-2</v>
      </c>
      <c r="AA116" s="10">
        <v>5368.6925486999999</v>
      </c>
      <c r="AB116" s="10">
        <v>8824.3207416000005</v>
      </c>
      <c r="AC116" s="10">
        <v>5341.9171102</v>
      </c>
      <c r="AD116" s="10">
        <v>3686.6330739</v>
      </c>
      <c r="AE116" s="10">
        <v>6233.1128723499996</v>
      </c>
      <c r="AF116" s="10">
        <v>9580.3266695500006</v>
      </c>
      <c r="AG116" s="10">
        <v>12389.734323000001</v>
      </c>
      <c r="AH116" s="10">
        <v>12909.797245199999</v>
      </c>
      <c r="AI116" s="10">
        <v>13062.9749393</v>
      </c>
      <c r="AJ116" s="10">
        <v>11746.2825051</v>
      </c>
      <c r="AK116" s="10">
        <v>1984.010235</v>
      </c>
      <c r="AL116" s="10">
        <v>2149.3376612500001</v>
      </c>
      <c r="AM116" s="14">
        <v>50</v>
      </c>
      <c r="AN116" s="14">
        <v>50</v>
      </c>
      <c r="AO116" s="14">
        <v>50</v>
      </c>
      <c r="AP116" s="14">
        <v>55</v>
      </c>
      <c r="AQ116" s="14">
        <v>55</v>
      </c>
      <c r="AR116" s="14">
        <v>55</v>
      </c>
      <c r="AS116" s="14">
        <v>55</v>
      </c>
      <c r="AT116" s="14">
        <v>55</v>
      </c>
      <c r="AU116" s="14">
        <v>40</v>
      </c>
      <c r="AV116" s="14">
        <v>40</v>
      </c>
      <c r="AW116" s="14">
        <v>45</v>
      </c>
      <c r="AX116" s="14">
        <v>45</v>
      </c>
    </row>
    <row r="117" spans="1:50" ht="20.100000000000001" customHeight="1">
      <c r="A117" s="1">
        <v>116</v>
      </c>
      <c r="B117" s="2" t="s">
        <v>114</v>
      </c>
      <c r="C117" s="10">
        <v>729.53729999999996</v>
      </c>
      <c r="D117" s="10">
        <v>1125.0983000000001</v>
      </c>
      <c r="E117" s="10">
        <v>917.29729999999995</v>
      </c>
      <c r="F117" s="10">
        <v>1041.8514</v>
      </c>
      <c r="G117" s="10">
        <v>1168.1959999999999</v>
      </c>
      <c r="H117" s="10">
        <v>1745.3615</v>
      </c>
      <c r="I117" s="10">
        <v>268.70540663999998</v>
      </c>
      <c r="J117" s="10">
        <v>586.81065143599994</v>
      </c>
      <c r="K117" s="10">
        <v>514.20565323599999</v>
      </c>
      <c r="L117" s="10">
        <v>584.01639033100003</v>
      </c>
      <c r="M117" s="10">
        <v>743.55312256499997</v>
      </c>
      <c r="N117" s="10">
        <v>1029.6987043877</v>
      </c>
      <c r="O117" s="7">
        <v>7.9799999999999996E-2</v>
      </c>
      <c r="P117" s="7">
        <v>0.54220000000000002</v>
      </c>
      <c r="Q117" s="7">
        <v>-0.1847</v>
      </c>
      <c r="R117" s="7">
        <v>0.1358</v>
      </c>
      <c r="S117" s="7">
        <v>0.12130000000000001</v>
      </c>
      <c r="T117" s="7">
        <v>0.49409999999999998</v>
      </c>
      <c r="U117" s="7">
        <v>0.16930000000000001</v>
      </c>
      <c r="V117" s="7">
        <v>1.1838</v>
      </c>
      <c r="W117" s="7">
        <v>-0.1237</v>
      </c>
      <c r="X117" s="7">
        <v>0.1358</v>
      </c>
      <c r="Y117" s="7">
        <v>0.2732</v>
      </c>
      <c r="Z117" s="7">
        <v>0.38479999999999998</v>
      </c>
      <c r="AA117" s="10">
        <v>8402.871889</v>
      </c>
      <c r="AB117" s="10">
        <v>10810.706013200001</v>
      </c>
      <c r="AC117" s="10">
        <v>4441.9605178000002</v>
      </c>
      <c r="AD117" s="10">
        <v>4680.9209271</v>
      </c>
      <c r="AE117" s="10">
        <v>7040.4095244999999</v>
      </c>
      <c r="AF117" s="10">
        <v>9934.4178303999997</v>
      </c>
      <c r="AG117" s="10">
        <v>13610.602507199999</v>
      </c>
      <c r="AH117" s="10">
        <v>16381.592084</v>
      </c>
      <c r="AI117" s="10">
        <v>15465.139380000001</v>
      </c>
      <c r="AJ117" s="10">
        <v>19563.2933562</v>
      </c>
      <c r="AK117" s="10">
        <v>1561.068462</v>
      </c>
      <c r="AL117" s="10">
        <v>2711.3161845</v>
      </c>
      <c r="AM117" s="14">
        <v>100</v>
      </c>
      <c r="AN117" s="14">
        <v>20</v>
      </c>
      <c r="AO117" s="14">
        <v>20</v>
      </c>
      <c r="AP117" s="14">
        <v>25</v>
      </c>
      <c r="AQ117" s="14">
        <v>25</v>
      </c>
      <c r="AR117" s="14">
        <v>10</v>
      </c>
      <c r="AS117" s="14">
        <v>25</v>
      </c>
      <c r="AT117" s="14">
        <v>20</v>
      </c>
      <c r="AU117" s="14">
        <v>20</v>
      </c>
      <c r="AV117" s="14">
        <v>30</v>
      </c>
      <c r="AW117" s="14">
        <v>100</v>
      </c>
      <c r="AX117" s="14">
        <v>100</v>
      </c>
    </row>
    <row r="118" spans="1:50" ht="20.100000000000001" customHeight="1">
      <c r="A118" s="1">
        <v>117</v>
      </c>
      <c r="B118" s="2" t="s">
        <v>115</v>
      </c>
      <c r="C118" s="10">
        <v>1240.8526999999999</v>
      </c>
      <c r="D118" s="10">
        <v>2033.4568999999999</v>
      </c>
      <c r="E118" s="10">
        <v>181.35390000000001</v>
      </c>
      <c r="F118" s="10">
        <v>625.27739999999994</v>
      </c>
      <c r="G118" s="10">
        <v>1135.434</v>
      </c>
      <c r="H118" s="10">
        <v>1773.3109999999999</v>
      </c>
      <c r="I118" s="10">
        <v>754.31194002300003</v>
      </c>
      <c r="J118" s="10">
        <v>1396.2855010549999</v>
      </c>
      <c r="K118" s="10">
        <v>162.21605410999999</v>
      </c>
      <c r="L118" s="10">
        <v>559.29339756900004</v>
      </c>
      <c r="M118" s="10">
        <v>1015.6144290669999</v>
      </c>
      <c r="N118" s="10">
        <v>1595.0258343697999</v>
      </c>
      <c r="O118" s="7">
        <v>1.9622999999999999</v>
      </c>
      <c r="P118" s="7">
        <v>0.63880000000000003</v>
      </c>
      <c r="Q118" s="7">
        <v>-0.91080000000000005</v>
      </c>
      <c r="R118" s="7">
        <v>2.4478</v>
      </c>
      <c r="S118" s="7">
        <v>0.81589999999999996</v>
      </c>
      <c r="T118" s="7">
        <v>0.56179999999999997</v>
      </c>
      <c r="U118" s="7">
        <v>1.9622999999999999</v>
      </c>
      <c r="V118" s="7">
        <v>0.85109999999999997</v>
      </c>
      <c r="W118" s="7">
        <v>-0.88380000000000003</v>
      </c>
      <c r="X118" s="7">
        <v>2.4478</v>
      </c>
      <c r="Y118" s="7">
        <v>0.81589999999999996</v>
      </c>
      <c r="Z118" s="7">
        <v>0.57050000000000001</v>
      </c>
      <c r="AA118" s="10">
        <v>9119.8008439999994</v>
      </c>
      <c r="AB118" s="10">
        <v>16458.410366200002</v>
      </c>
      <c r="AC118" s="10">
        <v>8847.2087343999992</v>
      </c>
      <c r="AD118" s="10">
        <v>6830.5166832000004</v>
      </c>
      <c r="AE118" s="10">
        <v>10733.6690736</v>
      </c>
      <c r="AF118" s="10">
        <v>15368.6625372</v>
      </c>
      <c r="AG118" s="10">
        <v>13661.033366400001</v>
      </c>
      <c r="AH118" s="10">
        <v>10408.4063744</v>
      </c>
      <c r="AI118" s="10">
        <v>11538.562637999999</v>
      </c>
      <c r="AJ118" s="10">
        <v>19968.061283999999</v>
      </c>
      <c r="AK118" s="10">
        <v>2445.7647717999998</v>
      </c>
      <c r="AL118" s="10">
        <v>5181.7050250000002</v>
      </c>
      <c r="AM118" s="14">
        <v>100</v>
      </c>
      <c r="AN118" s="14">
        <v>95</v>
      </c>
      <c r="AO118" s="14">
        <v>90</v>
      </c>
      <c r="AP118" s="14">
        <v>90</v>
      </c>
      <c r="AQ118" s="14">
        <v>90</v>
      </c>
      <c r="AR118" s="14">
        <v>95</v>
      </c>
      <c r="AS118" s="14">
        <v>90</v>
      </c>
      <c r="AT118" s="14">
        <v>90</v>
      </c>
      <c r="AU118" s="14">
        <v>95</v>
      </c>
      <c r="AV118" s="14">
        <v>95</v>
      </c>
      <c r="AW118" s="14">
        <v>100</v>
      </c>
      <c r="AX118" s="14">
        <v>100</v>
      </c>
    </row>
    <row r="119" spans="1:50" ht="20.100000000000001" customHeight="1">
      <c r="A119" s="1">
        <v>118</v>
      </c>
      <c r="B119" s="2" t="s">
        <v>116</v>
      </c>
      <c r="C119" s="10">
        <v>801.82380000000001</v>
      </c>
      <c r="D119" s="10">
        <v>2246.4465</v>
      </c>
      <c r="E119" s="10">
        <v>459.09710000000001</v>
      </c>
      <c r="F119" s="10">
        <v>1663.8694</v>
      </c>
      <c r="G119" s="10">
        <v>1683.4857</v>
      </c>
      <c r="H119" s="10">
        <v>2236.9902999999999</v>
      </c>
      <c r="I119" s="10">
        <v>127.384612997</v>
      </c>
      <c r="J119" s="10">
        <v>356.88976892900001</v>
      </c>
      <c r="K119" s="10">
        <v>112.370678169</v>
      </c>
      <c r="L119" s="10">
        <v>408.25960662699998</v>
      </c>
      <c r="M119" s="10">
        <v>413.071438156</v>
      </c>
      <c r="N119" s="10">
        <v>548.88135371299995</v>
      </c>
      <c r="O119" s="7">
        <v>0.1275</v>
      </c>
      <c r="P119" s="7">
        <v>1.8017000000000001</v>
      </c>
      <c r="Q119" s="7">
        <v>-0.79559999999999997</v>
      </c>
      <c r="R119" s="7">
        <v>2.6242000000000001</v>
      </c>
      <c r="S119" s="7">
        <v>1.18E-2</v>
      </c>
      <c r="T119" s="7">
        <v>0.32879999999999998</v>
      </c>
      <c r="U119" s="7">
        <v>0.1229</v>
      </c>
      <c r="V119" s="7">
        <v>1.8017000000000001</v>
      </c>
      <c r="W119" s="7">
        <v>-0.68510000000000004</v>
      </c>
      <c r="X119" s="7">
        <v>2.6332</v>
      </c>
      <c r="Y119" s="7">
        <v>1.18E-2</v>
      </c>
      <c r="Z119" s="7">
        <v>0.32879999999999998</v>
      </c>
      <c r="AA119" s="10">
        <v>2735.3403899999998</v>
      </c>
      <c r="AB119" s="10">
        <v>5154.5970016000001</v>
      </c>
      <c r="AC119" s="10">
        <v>2717.1033123000002</v>
      </c>
      <c r="AD119" s="10">
        <v>3259.0314840000001</v>
      </c>
      <c r="AE119" s="10">
        <v>6096.4346729999997</v>
      </c>
      <c r="AF119" s="10">
        <v>9632.1985325000005</v>
      </c>
      <c r="AG119" s="10">
        <v>10301.382851599999</v>
      </c>
      <c r="AH119" s="10">
        <v>10840.7500686</v>
      </c>
      <c r="AI119" s="10">
        <v>10072.271960149999</v>
      </c>
      <c r="AJ119" s="10">
        <v>10170.41833735</v>
      </c>
      <c r="AK119" s="10">
        <v>972.56551200000001</v>
      </c>
      <c r="AL119" s="10">
        <v>1513.55507805</v>
      </c>
      <c r="AM119" s="14">
        <v>20</v>
      </c>
      <c r="AN119" s="14">
        <v>20</v>
      </c>
      <c r="AO119" s="14">
        <v>20</v>
      </c>
      <c r="AP119" s="14">
        <v>20</v>
      </c>
      <c r="AQ119" s="14">
        <v>13</v>
      </c>
      <c r="AR119" s="14">
        <v>13</v>
      </c>
      <c r="AS119" s="14">
        <v>13</v>
      </c>
      <c r="AT119" s="14">
        <v>14</v>
      </c>
      <c r="AU119" s="14">
        <v>14</v>
      </c>
      <c r="AV119" s="14">
        <v>14</v>
      </c>
      <c r="AW119" s="14">
        <v>20</v>
      </c>
      <c r="AX119" s="14">
        <v>20</v>
      </c>
    </row>
    <row r="120" spans="1:50" ht="20.100000000000001" customHeight="1">
      <c r="A120" s="1">
        <v>119</v>
      </c>
      <c r="B120" s="2" t="s">
        <v>117</v>
      </c>
      <c r="C120" s="10">
        <v>1373.7248999999999</v>
      </c>
      <c r="D120" s="10">
        <v>2663.1098999999999</v>
      </c>
      <c r="E120" s="10">
        <v>1534.8906999999999</v>
      </c>
      <c r="F120" s="10">
        <v>864.88729999999998</v>
      </c>
      <c r="G120" s="10">
        <v>1268.1976999999999</v>
      </c>
      <c r="H120" s="10">
        <v>1804.3409999999999</v>
      </c>
      <c r="I120" s="10">
        <v>768.91228942099997</v>
      </c>
      <c r="J120" s="10">
        <v>1498.7183753280001</v>
      </c>
      <c r="K120" s="10">
        <v>868.97818580199998</v>
      </c>
      <c r="L120" s="10">
        <v>491.90465939400002</v>
      </c>
      <c r="M120" s="10">
        <v>910.69211329300003</v>
      </c>
      <c r="N120" s="10">
        <v>1303.8167888425</v>
      </c>
      <c r="O120" s="7">
        <v>0.1009</v>
      </c>
      <c r="P120" s="7">
        <v>0.93859999999999999</v>
      </c>
      <c r="Q120" s="7">
        <v>-0.42359999999999998</v>
      </c>
      <c r="R120" s="7">
        <v>-0.4365</v>
      </c>
      <c r="S120" s="7">
        <v>0.46629999999999999</v>
      </c>
      <c r="T120" s="7">
        <v>0.42280000000000001</v>
      </c>
      <c r="U120" s="7">
        <v>0.10929999999999999</v>
      </c>
      <c r="V120" s="7">
        <v>0.94910000000000005</v>
      </c>
      <c r="W120" s="7">
        <v>-0.42020000000000002</v>
      </c>
      <c r="X120" s="7">
        <v>-0.43390000000000001</v>
      </c>
      <c r="Y120" s="7">
        <v>0.85140000000000005</v>
      </c>
      <c r="Z120" s="7">
        <v>0.43169999999999997</v>
      </c>
      <c r="AA120" s="10">
        <v>17382.599999999999</v>
      </c>
      <c r="AB120" s="10">
        <v>24242.400000000001</v>
      </c>
      <c r="AC120" s="10">
        <v>11071.75</v>
      </c>
      <c r="AD120" s="10">
        <v>10125.372698249999</v>
      </c>
      <c r="AE120" s="10">
        <v>16012.5</v>
      </c>
      <c r="AF120" s="10">
        <v>18703.125</v>
      </c>
      <c r="AG120" s="10">
        <v>20371.59</v>
      </c>
      <c r="AH120" s="10">
        <v>23840.902736</v>
      </c>
      <c r="AI120" s="10">
        <v>25672.056410000001</v>
      </c>
      <c r="AJ120" s="10">
        <v>25869.08</v>
      </c>
      <c r="AK120" s="10">
        <v>3367.8217129999998</v>
      </c>
      <c r="AL120" s="10">
        <v>9637.92</v>
      </c>
      <c r="AM120" s="14">
        <v>70</v>
      </c>
      <c r="AN120" s="14">
        <v>70</v>
      </c>
      <c r="AO120" s="14">
        <v>70</v>
      </c>
      <c r="AP120" s="14">
        <v>70</v>
      </c>
      <c r="AQ120" s="14">
        <v>70</v>
      </c>
      <c r="AR120" s="14">
        <v>70</v>
      </c>
      <c r="AS120" s="14">
        <v>70</v>
      </c>
      <c r="AT120" s="14">
        <v>60</v>
      </c>
      <c r="AU120" s="14">
        <v>60</v>
      </c>
      <c r="AV120" s="14">
        <v>60</v>
      </c>
      <c r="AW120" s="14">
        <v>65</v>
      </c>
      <c r="AX120" s="14">
        <v>70</v>
      </c>
    </row>
    <row r="121" spans="1:50" ht="20.100000000000001" customHeight="1">
      <c r="A121" s="1">
        <v>120</v>
      </c>
      <c r="B121" s="2" t="s">
        <v>118</v>
      </c>
      <c r="C121" s="10">
        <v>741.08770000000004</v>
      </c>
      <c r="D121" s="10">
        <v>1890.3697999999999</v>
      </c>
      <c r="E121" s="10">
        <v>871.16629999999998</v>
      </c>
      <c r="F121" s="10">
        <v>1444.2245</v>
      </c>
      <c r="G121" s="10">
        <v>1115.6223</v>
      </c>
      <c r="H121" s="10">
        <v>1499.8104000000001</v>
      </c>
      <c r="I121" s="10">
        <v>692.76688041499995</v>
      </c>
      <c r="J121" s="10">
        <v>2382.9235851889998</v>
      </c>
      <c r="K121" s="10">
        <v>1220.279791293</v>
      </c>
      <c r="L121" s="10">
        <v>2022.250919978</v>
      </c>
      <c r="M121" s="10">
        <v>1718.4250302119999</v>
      </c>
      <c r="N121" s="10">
        <v>2310.0387878554998</v>
      </c>
      <c r="O121" s="7">
        <v>0.81079999999999997</v>
      </c>
      <c r="P121" s="7">
        <v>1.5508</v>
      </c>
      <c r="Q121" s="7">
        <v>-0.53920000000000001</v>
      </c>
      <c r="R121" s="7">
        <v>0.65780000000000005</v>
      </c>
      <c r="S121" s="7">
        <v>-0.22750000000000001</v>
      </c>
      <c r="T121" s="7">
        <v>0.34439999999999998</v>
      </c>
      <c r="U121" s="7">
        <v>0.81040000000000001</v>
      </c>
      <c r="V121" s="7">
        <v>2.4397000000000002</v>
      </c>
      <c r="W121" s="7">
        <v>-0.4879</v>
      </c>
      <c r="X121" s="7">
        <v>0.65720000000000001</v>
      </c>
      <c r="Y121" s="7">
        <v>-0.1502</v>
      </c>
      <c r="Z121" s="7">
        <v>0.34429999999999999</v>
      </c>
      <c r="AA121" s="10">
        <v>19048.8963024</v>
      </c>
      <c r="AB121" s="10">
        <v>35665.411935999997</v>
      </c>
      <c r="AC121" s="10">
        <v>21190.478239799999</v>
      </c>
      <c r="AD121" s="10">
        <v>16440.5879685</v>
      </c>
      <c r="AE121" s="10">
        <v>23017.2517701</v>
      </c>
      <c r="AF121" s="10">
        <v>27097.029200249999</v>
      </c>
      <c r="AG121" s="10">
        <v>24432.9954105</v>
      </c>
      <c r="AH121" s="10">
        <v>19180.978840799999</v>
      </c>
      <c r="AI121" s="10">
        <v>26183.558417600001</v>
      </c>
      <c r="AJ121" s="10">
        <v>29532.6182152</v>
      </c>
      <c r="AK121" s="10">
        <v>2742.0502689499999</v>
      </c>
      <c r="AL121" s="10">
        <v>6255.6246300000003</v>
      </c>
      <c r="AM121" s="14">
        <v>97</v>
      </c>
      <c r="AN121" s="14">
        <v>84</v>
      </c>
      <c r="AO121" s="14">
        <v>75</v>
      </c>
      <c r="AP121" s="14">
        <v>75</v>
      </c>
      <c r="AQ121" s="14">
        <v>75</v>
      </c>
      <c r="AR121" s="14">
        <v>75</v>
      </c>
      <c r="AS121" s="14">
        <v>75</v>
      </c>
      <c r="AT121" s="14">
        <v>75</v>
      </c>
      <c r="AU121" s="14">
        <v>75</v>
      </c>
      <c r="AV121" s="14">
        <v>75</v>
      </c>
      <c r="AW121" s="14">
        <v>65</v>
      </c>
      <c r="AX121" s="14">
        <v>65</v>
      </c>
    </row>
    <row r="122" spans="1:50" ht="20.100000000000001" customHeight="1">
      <c r="A122" s="1">
        <v>121</v>
      </c>
      <c r="B122" s="2" t="s">
        <v>119</v>
      </c>
      <c r="C122" s="10">
        <v>962.28200000000004</v>
      </c>
      <c r="D122" s="10">
        <v>1954.6464000000001</v>
      </c>
      <c r="E122" s="10">
        <v>892.45540000000005</v>
      </c>
      <c r="F122" s="10">
        <v>1206.2484999999999</v>
      </c>
      <c r="G122" s="10">
        <v>1416.1481000000001</v>
      </c>
      <c r="H122" s="10">
        <v>2030.6079999999999</v>
      </c>
      <c r="I122" s="10">
        <v>1257.3724708320001</v>
      </c>
      <c r="J122" s="10">
        <v>2695.9139412509999</v>
      </c>
      <c r="K122" s="10">
        <v>1699.3198962229999</v>
      </c>
      <c r="L122" s="10">
        <v>2292.7813854159999</v>
      </c>
      <c r="M122" s="10">
        <v>2835.0231203640001</v>
      </c>
      <c r="N122" s="10">
        <v>4301.3975032977996</v>
      </c>
      <c r="O122" s="7">
        <v>0.38800000000000001</v>
      </c>
      <c r="P122" s="7">
        <v>1.0313000000000001</v>
      </c>
      <c r="Q122" s="7">
        <v>-0.54339999999999999</v>
      </c>
      <c r="R122" s="7">
        <v>0.35160000000000002</v>
      </c>
      <c r="S122" s="7">
        <v>0.17399999999999999</v>
      </c>
      <c r="T122" s="7">
        <v>0.43390000000000001</v>
      </c>
      <c r="U122" s="7">
        <v>0.38290000000000002</v>
      </c>
      <c r="V122" s="7">
        <v>1.1440999999999999</v>
      </c>
      <c r="W122" s="7">
        <v>-0.36969999999999997</v>
      </c>
      <c r="X122" s="7">
        <v>0.34920000000000001</v>
      </c>
      <c r="Y122" s="7">
        <v>0.23649999999999999</v>
      </c>
      <c r="Z122" s="7">
        <v>0.51719999999999999</v>
      </c>
      <c r="AA122" s="10">
        <v>36020.324119999997</v>
      </c>
      <c r="AB122" s="10">
        <v>50885.635050600002</v>
      </c>
      <c r="AC122" s="10">
        <v>28014.554092800001</v>
      </c>
      <c r="AD122" s="10">
        <v>26357.7544413</v>
      </c>
      <c r="AE122" s="10">
        <v>38677.777660200001</v>
      </c>
      <c r="AF122" s="10">
        <v>49171.748343200001</v>
      </c>
      <c r="AG122" s="10">
        <v>51235.25781255</v>
      </c>
      <c r="AH122" s="10">
        <v>51106.777322499998</v>
      </c>
      <c r="AI122" s="10">
        <v>48705.249515000003</v>
      </c>
      <c r="AJ122" s="10">
        <v>71930.447612100004</v>
      </c>
      <c r="AK122" s="10">
        <v>8893.8585867999991</v>
      </c>
      <c r="AL122" s="10">
        <v>19827.393984400002</v>
      </c>
      <c r="AM122" s="14">
        <v>60</v>
      </c>
      <c r="AN122" s="14">
        <v>65</v>
      </c>
      <c r="AO122" s="14">
        <v>70</v>
      </c>
      <c r="AP122" s="14">
        <v>70</v>
      </c>
      <c r="AQ122" s="14">
        <v>70</v>
      </c>
      <c r="AR122" s="14">
        <v>70</v>
      </c>
      <c r="AS122" s="14">
        <v>70</v>
      </c>
      <c r="AT122" s="14">
        <v>70</v>
      </c>
      <c r="AU122" s="14">
        <v>70</v>
      </c>
      <c r="AV122" s="14">
        <v>70</v>
      </c>
      <c r="AW122" s="14">
        <v>60</v>
      </c>
      <c r="AX122" s="14">
        <v>60</v>
      </c>
    </row>
    <row r="123" spans="1:50" ht="20.100000000000001" customHeight="1">
      <c r="A123" s="1">
        <v>122</v>
      </c>
      <c r="B123" s="2" t="s">
        <v>120</v>
      </c>
      <c r="C123" s="10">
        <v>1003.0903</v>
      </c>
      <c r="D123" s="10">
        <v>1157.7705000000001</v>
      </c>
      <c r="E123" s="10">
        <v>825.05190000000005</v>
      </c>
      <c r="F123" s="10">
        <v>1451.2475999999999</v>
      </c>
      <c r="G123" s="10">
        <v>1143.9023999999999</v>
      </c>
      <c r="H123" s="10"/>
      <c r="I123" s="10">
        <v>193.91719926799999</v>
      </c>
      <c r="J123" s="10">
        <v>223.81995416800001</v>
      </c>
      <c r="K123" s="10">
        <v>159.498859264</v>
      </c>
      <c r="L123" s="10">
        <v>280.55487193699997</v>
      </c>
      <c r="M123" s="10">
        <v>238.50598811399999</v>
      </c>
      <c r="N123" s="10"/>
      <c r="O123" s="7">
        <v>0.3679</v>
      </c>
      <c r="P123" s="7">
        <v>0.1542</v>
      </c>
      <c r="Q123" s="7">
        <v>-0.28739999999999999</v>
      </c>
      <c r="R123" s="7">
        <v>0.75900000000000001</v>
      </c>
      <c r="S123" s="7">
        <v>-0.21179999999999999</v>
      </c>
      <c r="T123" s="7"/>
      <c r="U123" s="7">
        <v>0.3679</v>
      </c>
      <c r="V123" s="7">
        <v>0.1542</v>
      </c>
      <c r="W123" s="7">
        <v>-0.28739999999999999</v>
      </c>
      <c r="X123" s="7">
        <v>0.75900000000000001</v>
      </c>
      <c r="Y123" s="7">
        <v>-0.14990000000000001</v>
      </c>
      <c r="Z123" s="7"/>
      <c r="AA123" s="10">
        <v>2688.4</v>
      </c>
      <c r="AB123" s="10">
        <v>3410.55</v>
      </c>
      <c r="AC123" s="10">
        <v>3955.0225</v>
      </c>
      <c r="AD123" s="10">
        <v>2417.415</v>
      </c>
      <c r="AE123" s="10">
        <v>3075.2150000000001</v>
      </c>
      <c r="AF123" s="10">
        <v>3263.5102499999998</v>
      </c>
      <c r="AG123" s="10">
        <v>3850.5967500000002</v>
      </c>
      <c r="AH123" s="10">
        <v>3475.0340624999999</v>
      </c>
      <c r="AI123" s="10">
        <v>3504.9407249999999</v>
      </c>
      <c r="AJ123" s="10">
        <v>3701.3106025000002</v>
      </c>
      <c r="AK123" s="10">
        <v>1262.43</v>
      </c>
      <c r="AL123" s="10">
        <v>2055.4299999999998</v>
      </c>
      <c r="AM123" s="14">
        <v>92</v>
      </c>
      <c r="AN123" s="14">
        <v>23</v>
      </c>
      <c r="AO123" s="14">
        <v>35</v>
      </c>
      <c r="AP123" s="14">
        <v>35</v>
      </c>
      <c r="AQ123" s="14">
        <v>35</v>
      </c>
      <c r="AR123" s="14">
        <v>35</v>
      </c>
      <c r="AS123" s="14">
        <v>35</v>
      </c>
      <c r="AT123" s="14">
        <v>35</v>
      </c>
      <c r="AU123" s="14">
        <v>35</v>
      </c>
      <c r="AV123" s="14">
        <v>35</v>
      </c>
      <c r="AW123" s="14">
        <v>92</v>
      </c>
      <c r="AX123" s="14">
        <v>92</v>
      </c>
    </row>
    <row r="124" spans="1:50" ht="20.100000000000001" customHeight="1">
      <c r="A124" s="1">
        <v>123</v>
      </c>
      <c r="B124" s="2" t="s">
        <v>121</v>
      </c>
      <c r="C124" s="10">
        <v>1921.2263</v>
      </c>
      <c r="D124" s="10">
        <v>2279.7037</v>
      </c>
      <c r="E124" s="10">
        <v>3142.5286000000001</v>
      </c>
      <c r="F124" s="10">
        <v>3440.5603999999998</v>
      </c>
      <c r="G124" s="10">
        <v>3523.9234999999999</v>
      </c>
      <c r="H124" s="10">
        <v>3816.4418999999998</v>
      </c>
      <c r="I124" s="10">
        <v>18451.311000000002</v>
      </c>
      <c r="J124" s="10">
        <v>21918.812999999998</v>
      </c>
      <c r="K124" s="10">
        <v>29899.013999999999</v>
      </c>
      <c r="L124" s="10">
        <v>33033.203000000001</v>
      </c>
      <c r="M124" s="10">
        <v>33831.385999999999</v>
      </c>
      <c r="N124" s="10">
        <v>36653.962947719199</v>
      </c>
      <c r="O124" s="7">
        <v>5.9999999999999995E-4</v>
      </c>
      <c r="P124" s="7">
        <v>0.18659999999999999</v>
      </c>
      <c r="Q124" s="7">
        <v>0.3785</v>
      </c>
      <c r="R124" s="7">
        <v>9.4799999999999995E-2</v>
      </c>
      <c r="S124" s="7">
        <v>2.4199999999999999E-2</v>
      </c>
      <c r="T124" s="7">
        <v>8.3000000000000004E-2</v>
      </c>
      <c r="U124" s="7">
        <v>-3.2000000000000002E-3</v>
      </c>
      <c r="V124" s="7">
        <v>0.18790000000000001</v>
      </c>
      <c r="W124" s="7">
        <v>0.36409999999999998</v>
      </c>
      <c r="X124" s="7">
        <v>0.1048</v>
      </c>
      <c r="Y124" s="7">
        <v>2.4199999999999999E-2</v>
      </c>
      <c r="Z124" s="7">
        <v>8.3400000000000002E-2</v>
      </c>
      <c r="AA124" s="10">
        <v>431713.33494720003</v>
      </c>
      <c r="AB124" s="10">
        <v>372923.17669240001</v>
      </c>
      <c r="AC124" s="10">
        <v>353992.23951079999</v>
      </c>
      <c r="AD124" s="10">
        <v>378601.32568000001</v>
      </c>
      <c r="AE124" s="10">
        <v>473251.65710000001</v>
      </c>
      <c r="AF124" s="10">
        <v>448804.02833860001</v>
      </c>
      <c r="AG124" s="10">
        <v>476190.57552239997</v>
      </c>
      <c r="AH124" s="10">
        <v>509725.12309439998</v>
      </c>
      <c r="AI124" s="10">
        <v>476273.48035799997</v>
      </c>
      <c r="AJ124" s="10">
        <v>496327.1005836</v>
      </c>
      <c r="AK124" s="10">
        <v>297822.85907439998</v>
      </c>
      <c r="AL124" s="10">
        <v>363099.1021592</v>
      </c>
      <c r="AM124" s="14">
        <v>11</v>
      </c>
      <c r="AN124" s="14">
        <v>11</v>
      </c>
      <c r="AO124" s="14">
        <v>11</v>
      </c>
      <c r="AP124" s="14">
        <v>11</v>
      </c>
      <c r="AQ124" s="14">
        <v>11</v>
      </c>
      <c r="AR124" s="14">
        <v>11</v>
      </c>
      <c r="AS124" s="14">
        <v>11</v>
      </c>
      <c r="AT124" s="14">
        <v>11</v>
      </c>
      <c r="AU124" s="14">
        <v>11</v>
      </c>
      <c r="AV124" s="14">
        <v>11</v>
      </c>
      <c r="AW124" s="14">
        <v>11</v>
      </c>
      <c r="AX124" s="14">
        <v>11</v>
      </c>
    </row>
    <row r="125" spans="1:50" ht="20.100000000000001" customHeight="1">
      <c r="A125" s="1">
        <v>124</v>
      </c>
      <c r="B125" s="2" t="s">
        <v>122</v>
      </c>
      <c r="C125" s="10">
        <v>1437.0880999999999</v>
      </c>
      <c r="D125" s="10">
        <v>1740.826</v>
      </c>
      <c r="E125" s="10">
        <v>2256.8775999999998</v>
      </c>
      <c r="F125" s="10">
        <v>1608.9503999999999</v>
      </c>
      <c r="G125" s="10">
        <v>2188.7222999999999</v>
      </c>
      <c r="H125" s="10">
        <v>2485.1916000000001</v>
      </c>
      <c r="I125" s="10">
        <v>3510.1889999999999</v>
      </c>
      <c r="J125" s="10">
        <v>4829.1790000000001</v>
      </c>
      <c r="K125" s="10">
        <v>6260.7439999999997</v>
      </c>
      <c r="L125" s="10">
        <v>4463.3249999999998</v>
      </c>
      <c r="M125" s="10">
        <v>6071.634</v>
      </c>
      <c r="N125" s="10">
        <v>6894.0557233715999</v>
      </c>
      <c r="O125" s="7">
        <v>0.11070000000000001</v>
      </c>
      <c r="P125" s="7">
        <v>0.2114</v>
      </c>
      <c r="Q125" s="7">
        <v>0.2964</v>
      </c>
      <c r="R125" s="7">
        <v>-0.28710000000000002</v>
      </c>
      <c r="S125" s="7">
        <v>0.36030000000000001</v>
      </c>
      <c r="T125" s="7">
        <v>0.13550000000000001</v>
      </c>
      <c r="U125" s="7">
        <v>0.1346</v>
      </c>
      <c r="V125" s="7">
        <v>0.37580000000000002</v>
      </c>
      <c r="W125" s="7">
        <v>0.2964</v>
      </c>
      <c r="X125" s="7">
        <v>-0.28710000000000002</v>
      </c>
      <c r="Y125" s="7">
        <v>0.36030000000000001</v>
      </c>
      <c r="Z125" s="7">
        <v>0.13550000000000001</v>
      </c>
      <c r="AA125" s="10">
        <v>39383.935783499997</v>
      </c>
      <c r="AB125" s="10">
        <v>64931.063069750002</v>
      </c>
      <c r="AC125" s="10">
        <v>42944.661689250002</v>
      </c>
      <c r="AD125" s="10">
        <v>33295.953169749999</v>
      </c>
      <c r="AE125" s="10">
        <v>39629.430161999997</v>
      </c>
      <c r="AF125" s="10">
        <v>38308.4491566</v>
      </c>
      <c r="AG125" s="10">
        <v>37868.122154800003</v>
      </c>
      <c r="AH125" s="10">
        <v>43988.570663400002</v>
      </c>
      <c r="AI125" s="10">
        <v>35534.310836199998</v>
      </c>
      <c r="AJ125" s="10">
        <v>47574.903871950002</v>
      </c>
      <c r="AK125" s="10">
        <v>16821.406889999998</v>
      </c>
      <c r="AL125" s="10">
        <v>27648.371848800001</v>
      </c>
      <c r="AM125" s="14">
        <v>60</v>
      </c>
      <c r="AN125" s="14">
        <v>60</v>
      </c>
      <c r="AO125" s="14">
        <v>55</v>
      </c>
      <c r="AP125" s="14">
        <v>55</v>
      </c>
      <c r="AQ125" s="14">
        <v>60</v>
      </c>
      <c r="AR125" s="14">
        <v>60</v>
      </c>
      <c r="AS125" s="14">
        <v>50</v>
      </c>
      <c r="AT125" s="14">
        <v>50</v>
      </c>
      <c r="AU125" s="14">
        <v>55</v>
      </c>
      <c r="AV125" s="14">
        <v>55</v>
      </c>
      <c r="AW125" s="14">
        <v>60</v>
      </c>
      <c r="AX125" s="14">
        <v>60</v>
      </c>
    </row>
    <row r="126" spans="1:50" ht="20.100000000000001" customHeight="1">
      <c r="A126" s="1">
        <v>125</v>
      </c>
      <c r="B126" s="2" t="s">
        <v>123</v>
      </c>
      <c r="C126" s="10">
        <v>1703.4680000000001</v>
      </c>
      <c r="D126" s="10">
        <v>2490.8411999999998</v>
      </c>
      <c r="E126" s="10">
        <v>2777.7094000000002</v>
      </c>
      <c r="F126" s="10">
        <v>2478.1478000000002</v>
      </c>
      <c r="G126" s="10">
        <v>2949.9656</v>
      </c>
      <c r="H126" s="10">
        <v>3434.2642999999998</v>
      </c>
      <c r="I126" s="10">
        <v>12324.991</v>
      </c>
      <c r="J126" s="10">
        <v>18052.25</v>
      </c>
      <c r="K126" s="10">
        <v>20150.377</v>
      </c>
      <c r="L126" s="10">
        <v>18003.802</v>
      </c>
      <c r="M126" s="10">
        <v>21522.928</v>
      </c>
      <c r="N126" s="10">
        <v>25132.223936001101</v>
      </c>
      <c r="O126" s="7">
        <v>0.21990000000000001</v>
      </c>
      <c r="P126" s="7">
        <v>0.4622</v>
      </c>
      <c r="Q126" s="7">
        <v>0.1152</v>
      </c>
      <c r="R126" s="7">
        <v>-0.10780000000000001</v>
      </c>
      <c r="S126" s="7">
        <v>0.19040000000000001</v>
      </c>
      <c r="T126" s="7">
        <v>0.16420000000000001</v>
      </c>
      <c r="U126" s="7">
        <v>0.2233</v>
      </c>
      <c r="V126" s="7">
        <v>0.4647</v>
      </c>
      <c r="W126" s="7">
        <v>0.1162</v>
      </c>
      <c r="X126" s="7">
        <v>-0.1065</v>
      </c>
      <c r="Y126" s="7">
        <v>0.19550000000000001</v>
      </c>
      <c r="Z126" s="7">
        <v>0.16769999999999999</v>
      </c>
      <c r="AA126" s="10">
        <v>184708.55832099999</v>
      </c>
      <c r="AB126" s="10">
        <v>175545.73989999999</v>
      </c>
      <c r="AC126" s="10">
        <v>124813.02106889999</v>
      </c>
      <c r="AD126" s="10">
        <v>90920.615586900007</v>
      </c>
      <c r="AE126" s="10">
        <v>113782.6659279</v>
      </c>
      <c r="AF126" s="10">
        <v>112015.8437898</v>
      </c>
      <c r="AG126" s="10">
        <v>164501.2548737</v>
      </c>
      <c r="AH126" s="10">
        <v>174148.59536635</v>
      </c>
      <c r="AI126" s="10">
        <v>241617.9294738</v>
      </c>
      <c r="AJ126" s="10">
        <v>246601.16640720001</v>
      </c>
      <c r="AK126" s="10">
        <v>68427.736257099998</v>
      </c>
      <c r="AL126" s="10">
        <v>110404.54624500001</v>
      </c>
      <c r="AM126" s="14">
        <v>65</v>
      </c>
      <c r="AN126" s="14">
        <v>65</v>
      </c>
      <c r="AO126" s="14">
        <v>65</v>
      </c>
      <c r="AP126" s="14">
        <v>65</v>
      </c>
      <c r="AQ126" s="14">
        <v>65</v>
      </c>
      <c r="AR126" s="14">
        <v>65</v>
      </c>
      <c r="AS126" s="14">
        <v>65</v>
      </c>
      <c r="AT126" s="14">
        <v>65</v>
      </c>
      <c r="AU126" s="14">
        <v>55</v>
      </c>
      <c r="AV126" s="14">
        <v>55</v>
      </c>
      <c r="AW126" s="14">
        <v>65</v>
      </c>
      <c r="AX126" s="14">
        <v>70</v>
      </c>
    </row>
    <row r="127" spans="1:50" ht="20.100000000000001" customHeight="1">
      <c r="A127" s="1">
        <v>126</v>
      </c>
      <c r="B127" s="2" t="s">
        <v>124</v>
      </c>
      <c r="C127" s="10">
        <v>214.3244</v>
      </c>
      <c r="D127" s="10">
        <v>162.5068</v>
      </c>
      <c r="E127" s="10">
        <v>117.9563</v>
      </c>
      <c r="F127" s="10">
        <v>142.89619999999999</v>
      </c>
      <c r="G127" s="10">
        <v>145.9187</v>
      </c>
      <c r="H127" s="10"/>
      <c r="I127" s="10">
        <v>19.258116669</v>
      </c>
      <c r="J127" s="10">
        <v>23.433800902000002</v>
      </c>
      <c r="K127" s="10">
        <v>25.390088445</v>
      </c>
      <c r="L127" s="10">
        <v>30.758401162999998</v>
      </c>
      <c r="M127" s="10">
        <v>31.408996315</v>
      </c>
      <c r="N127" s="10"/>
      <c r="O127" s="7">
        <v>6.5000000000000002E-2</v>
      </c>
      <c r="P127" s="7">
        <v>-0.24179999999999999</v>
      </c>
      <c r="Q127" s="7">
        <v>-0.27410000000000001</v>
      </c>
      <c r="R127" s="7">
        <v>0.2114</v>
      </c>
      <c r="S127" s="7">
        <v>2.12E-2</v>
      </c>
      <c r="T127" s="7"/>
      <c r="U127" s="7">
        <v>6.5000000000000002E-2</v>
      </c>
      <c r="V127" s="7">
        <v>0.21679999999999999</v>
      </c>
      <c r="W127" s="7">
        <v>8.3500000000000005E-2</v>
      </c>
      <c r="X127" s="7">
        <v>0.2114</v>
      </c>
      <c r="Y127" s="7">
        <v>2.12E-2</v>
      </c>
      <c r="Z127" s="7"/>
      <c r="AA127" s="10">
        <v>1207.5</v>
      </c>
      <c r="AB127" s="10">
        <v>2310</v>
      </c>
      <c r="AC127" s="10">
        <v>1366.8364586</v>
      </c>
      <c r="AD127" s="10">
        <v>710.3244588</v>
      </c>
      <c r="AE127" s="10">
        <v>1218.3140717599999</v>
      </c>
      <c r="AF127" s="10">
        <v>1216.1615734</v>
      </c>
      <c r="AG127" s="10">
        <v>1455.0888913599999</v>
      </c>
      <c r="AH127" s="10">
        <v>1341.00647828</v>
      </c>
      <c r="AI127" s="10">
        <v>1319.48149468</v>
      </c>
      <c r="AJ127" s="10">
        <v>1739.21867488</v>
      </c>
      <c r="AK127" s="10">
        <v>250.8</v>
      </c>
      <c r="AL127" s="10">
        <v>541.20000000000005</v>
      </c>
      <c r="AM127" s="14">
        <v>50</v>
      </c>
      <c r="AN127" s="14">
        <v>50</v>
      </c>
      <c r="AO127" s="14">
        <v>50</v>
      </c>
      <c r="AP127" s="14">
        <v>35</v>
      </c>
      <c r="AQ127" s="14">
        <v>35</v>
      </c>
      <c r="AR127" s="14">
        <v>55</v>
      </c>
      <c r="AS127" s="14">
        <v>60</v>
      </c>
      <c r="AT127" s="14">
        <v>60</v>
      </c>
      <c r="AU127" s="14">
        <v>60</v>
      </c>
      <c r="AV127" s="14">
        <v>50</v>
      </c>
      <c r="AW127" s="14">
        <v>65</v>
      </c>
      <c r="AX127" s="14">
        <v>70</v>
      </c>
    </row>
    <row r="128" spans="1:50" ht="20.100000000000001" customHeight="1">
      <c r="A128" s="1">
        <v>127</v>
      </c>
      <c r="B128" s="2" t="s">
        <v>125</v>
      </c>
      <c r="C128" s="10">
        <v>763.89430000000004</v>
      </c>
      <c r="D128" s="10">
        <v>1142.1541</v>
      </c>
      <c r="E128" s="10">
        <v>2001.2547999999999</v>
      </c>
      <c r="F128" s="10">
        <v>2354.9733999999999</v>
      </c>
      <c r="G128" s="10">
        <v>2787.9308999999998</v>
      </c>
      <c r="H128" s="10">
        <v>2845.0962</v>
      </c>
      <c r="I128" s="10">
        <v>6996.6220000000003</v>
      </c>
      <c r="J128" s="10">
        <v>10540.138000000001</v>
      </c>
      <c r="K128" s="10">
        <v>18158.502</v>
      </c>
      <c r="L128" s="10">
        <v>21504.918000000001</v>
      </c>
      <c r="M128" s="10">
        <v>25140.037</v>
      </c>
      <c r="N128" s="10">
        <v>26355.9227850272</v>
      </c>
      <c r="O128" s="7">
        <v>-0.16930000000000001</v>
      </c>
      <c r="P128" s="7">
        <v>0.49519999999999997</v>
      </c>
      <c r="Q128" s="7">
        <v>0.75219999999999998</v>
      </c>
      <c r="R128" s="7">
        <v>0.1767</v>
      </c>
      <c r="S128" s="7">
        <v>0.18379999999999999</v>
      </c>
      <c r="T128" s="7">
        <v>2.0500000000000001E-2</v>
      </c>
      <c r="U128" s="7">
        <v>-0.16389999999999999</v>
      </c>
      <c r="V128" s="7">
        <v>0.50649999999999995</v>
      </c>
      <c r="W128" s="7">
        <v>0.7228</v>
      </c>
      <c r="X128" s="7">
        <v>0.18429999999999999</v>
      </c>
      <c r="Y128" s="7">
        <v>0.16900000000000001</v>
      </c>
      <c r="Z128" s="7">
        <v>4.8399999999999999E-2</v>
      </c>
      <c r="AA128" s="10">
        <v>190040.35238999999</v>
      </c>
      <c r="AB128" s="10">
        <v>187671.32406049999</v>
      </c>
      <c r="AC128" s="10">
        <v>169460.54783600001</v>
      </c>
      <c r="AD128" s="10">
        <v>195259.0192976</v>
      </c>
      <c r="AE128" s="10">
        <v>219287.00742360001</v>
      </c>
      <c r="AF128" s="10">
        <v>247398.91806</v>
      </c>
      <c r="AG128" s="10">
        <v>246543.852675</v>
      </c>
      <c r="AH128" s="10">
        <v>259001.6983134</v>
      </c>
      <c r="AI128" s="10">
        <v>254875.43758709999</v>
      </c>
      <c r="AJ128" s="10">
        <v>267513.88903770002</v>
      </c>
      <c r="AK128" s="10">
        <v>152434.48371599999</v>
      </c>
      <c r="AL128" s="10">
        <v>192654.664116</v>
      </c>
      <c r="AM128" s="14">
        <v>4</v>
      </c>
      <c r="AN128" s="14">
        <v>4</v>
      </c>
      <c r="AO128" s="14">
        <v>4</v>
      </c>
      <c r="AP128" s="14">
        <v>4</v>
      </c>
      <c r="AQ128" s="14">
        <v>4</v>
      </c>
      <c r="AR128" s="14">
        <v>4</v>
      </c>
      <c r="AS128" s="14">
        <v>4</v>
      </c>
      <c r="AT128" s="14">
        <v>4</v>
      </c>
      <c r="AU128" s="14">
        <v>4</v>
      </c>
      <c r="AV128" s="14">
        <v>4</v>
      </c>
      <c r="AW128" s="14">
        <v>4</v>
      </c>
      <c r="AX128" s="14">
        <v>4</v>
      </c>
    </row>
    <row r="129" spans="1:50" ht="20.100000000000001" customHeight="1">
      <c r="A129" s="1">
        <v>128</v>
      </c>
      <c r="B129" s="2" t="s">
        <v>126</v>
      </c>
      <c r="C129" s="10">
        <v>2020.5916999999999</v>
      </c>
      <c r="D129" s="10">
        <v>2406.9038</v>
      </c>
      <c r="E129" s="10">
        <v>1927.7251000000001</v>
      </c>
      <c r="F129" s="10">
        <v>2229.3011999999999</v>
      </c>
      <c r="G129" s="10">
        <v>2654.5007000000001</v>
      </c>
      <c r="H129" s="10">
        <v>3053.0277000000001</v>
      </c>
      <c r="I129" s="10">
        <v>1597.5882852689999</v>
      </c>
      <c r="J129" s="10">
        <v>1896.699438352</v>
      </c>
      <c r="K129" s="10">
        <v>1550.994189019</v>
      </c>
      <c r="L129" s="10">
        <v>1784.8610414069999</v>
      </c>
      <c r="M129" s="10">
        <v>2110.4969265999998</v>
      </c>
      <c r="N129" s="10">
        <v>2416.3327131695</v>
      </c>
      <c r="O129" s="7">
        <v>0.36499999999999999</v>
      </c>
      <c r="P129" s="7">
        <v>0.19120000000000001</v>
      </c>
      <c r="Q129" s="7">
        <v>-0.1991</v>
      </c>
      <c r="R129" s="7">
        <v>0.15640000000000001</v>
      </c>
      <c r="S129" s="7">
        <v>0.19070000000000001</v>
      </c>
      <c r="T129" s="7">
        <v>0.15010000000000001</v>
      </c>
      <c r="U129" s="7">
        <v>0.34429999999999999</v>
      </c>
      <c r="V129" s="7">
        <v>0.18720000000000001</v>
      </c>
      <c r="W129" s="7">
        <v>-0.18229999999999999</v>
      </c>
      <c r="X129" s="7">
        <v>0.15079999999999999</v>
      </c>
      <c r="Y129" s="7">
        <v>0.18240000000000001</v>
      </c>
      <c r="Z129" s="7">
        <v>0.1449</v>
      </c>
      <c r="AA129" s="10">
        <v>43351.649417599998</v>
      </c>
      <c r="AB129" s="10">
        <v>41570.074783999997</v>
      </c>
      <c r="AC129" s="10">
        <v>38971.945110000001</v>
      </c>
      <c r="AD129" s="10">
        <v>34592.240802400003</v>
      </c>
      <c r="AE129" s="10">
        <v>32736.4338924</v>
      </c>
      <c r="AF129" s="10">
        <v>29321.749177999998</v>
      </c>
      <c r="AG129" s="10">
        <v>34146.847143999999</v>
      </c>
      <c r="AH129" s="10">
        <v>37635.764134800003</v>
      </c>
      <c r="AI129" s="10">
        <v>39417.338768399997</v>
      </c>
      <c r="AJ129" s="10">
        <v>40233.8938088</v>
      </c>
      <c r="AK129" s="10">
        <v>33775.685762000001</v>
      </c>
      <c r="AL129" s="10">
        <v>48993.302424000001</v>
      </c>
      <c r="AM129" s="14">
        <v>10</v>
      </c>
      <c r="AN129" s="14">
        <v>10</v>
      </c>
      <c r="AO129" s="14">
        <v>10</v>
      </c>
      <c r="AP129" s="14">
        <v>10</v>
      </c>
      <c r="AQ129" s="14">
        <v>10</v>
      </c>
      <c r="AR129" s="14">
        <v>10</v>
      </c>
      <c r="AS129" s="14">
        <v>10</v>
      </c>
      <c r="AT129" s="14">
        <v>11</v>
      </c>
      <c r="AU129" s="14">
        <v>30</v>
      </c>
      <c r="AV129" s="14">
        <v>10</v>
      </c>
      <c r="AW129" s="14">
        <v>9</v>
      </c>
      <c r="AX129" s="14">
        <v>10</v>
      </c>
    </row>
    <row r="130" spans="1:50" ht="20.100000000000001" customHeight="1">
      <c r="A130" s="1">
        <v>129</v>
      </c>
      <c r="B130" s="2" t="s">
        <v>127</v>
      </c>
      <c r="C130" s="10">
        <v>2085.1455000000001</v>
      </c>
      <c r="D130" s="10">
        <v>2241.6795000000002</v>
      </c>
      <c r="E130" s="10">
        <v>2651.549</v>
      </c>
      <c r="F130" s="10">
        <v>3190.8090999999999</v>
      </c>
      <c r="G130" s="10">
        <v>4271.1972999999998</v>
      </c>
      <c r="H130" s="10">
        <v>5390.4380000000001</v>
      </c>
      <c r="I130" s="10">
        <v>13693.588</v>
      </c>
      <c r="J130" s="10">
        <v>14088.76</v>
      </c>
      <c r="K130" s="10">
        <v>16775.074000000001</v>
      </c>
      <c r="L130" s="10">
        <v>19903.55</v>
      </c>
      <c r="M130" s="10">
        <v>25348.215</v>
      </c>
      <c r="N130" s="10">
        <v>32162.8986903408</v>
      </c>
      <c r="O130" s="7">
        <v>0.47099999999999997</v>
      </c>
      <c r="P130" s="7">
        <v>7.51E-2</v>
      </c>
      <c r="Q130" s="7">
        <v>0.18279999999999999</v>
      </c>
      <c r="R130" s="7">
        <v>0.2034</v>
      </c>
      <c r="S130" s="7">
        <v>0.33860000000000001</v>
      </c>
      <c r="T130" s="7">
        <v>0.26200000000000001</v>
      </c>
      <c r="U130" s="7">
        <v>0.44729999999999998</v>
      </c>
      <c r="V130" s="7">
        <v>2.8899999999999999E-2</v>
      </c>
      <c r="W130" s="7">
        <v>0.19070000000000001</v>
      </c>
      <c r="X130" s="7">
        <v>0.1865</v>
      </c>
      <c r="Y130" s="7">
        <v>0.27360000000000001</v>
      </c>
      <c r="Z130" s="7">
        <v>0.26879999999999998</v>
      </c>
      <c r="AA130" s="10">
        <v>196223.4201012</v>
      </c>
      <c r="AB130" s="10">
        <v>162914.9456451</v>
      </c>
      <c r="AC130" s="10">
        <v>125670.37842535001</v>
      </c>
      <c r="AD130" s="10">
        <v>130956.70409525</v>
      </c>
      <c r="AE130" s="10">
        <v>141769.64296550001</v>
      </c>
      <c r="AF130" s="10">
        <v>145526.77637080001</v>
      </c>
      <c r="AG130" s="10">
        <v>166469.74418800001</v>
      </c>
      <c r="AH130" s="10">
        <v>202985.68807440001</v>
      </c>
      <c r="AI130" s="10">
        <v>225002.65424120001</v>
      </c>
      <c r="AJ130" s="10">
        <v>265009.0927638</v>
      </c>
      <c r="AK130" s="10">
        <v>80239.368181800004</v>
      </c>
      <c r="AL130" s="10">
        <v>128643.6274098</v>
      </c>
      <c r="AM130" s="14">
        <v>20</v>
      </c>
      <c r="AN130" s="14">
        <v>15</v>
      </c>
      <c r="AO130" s="14">
        <v>15</v>
      </c>
      <c r="AP130" s="14">
        <v>15</v>
      </c>
      <c r="AQ130" s="14">
        <v>15</v>
      </c>
      <c r="AR130" s="14">
        <v>15</v>
      </c>
      <c r="AS130" s="14">
        <v>15</v>
      </c>
      <c r="AT130" s="14">
        <v>15</v>
      </c>
      <c r="AU130" s="14">
        <v>15</v>
      </c>
      <c r="AV130" s="14">
        <v>15</v>
      </c>
      <c r="AW130" s="14">
        <v>20</v>
      </c>
      <c r="AX130" s="14">
        <v>20</v>
      </c>
    </row>
    <row r="131" spans="1:50" ht="20.100000000000001" customHeight="1">
      <c r="A131" s="1">
        <v>130</v>
      </c>
      <c r="B131" s="2" t="s">
        <v>128</v>
      </c>
      <c r="C131" s="10">
        <v>574.5204</v>
      </c>
      <c r="D131" s="10">
        <v>518.28920000000005</v>
      </c>
      <c r="E131" s="10">
        <v>1581.4096999999999</v>
      </c>
      <c r="F131" s="10">
        <v>1162.3276000000001</v>
      </c>
      <c r="G131" s="10">
        <v>1785.9916000000001</v>
      </c>
      <c r="H131" s="10">
        <v>2277.3045000000002</v>
      </c>
      <c r="I131" s="10">
        <v>1070.181</v>
      </c>
      <c r="J131" s="10">
        <v>965.43700000000001</v>
      </c>
      <c r="K131" s="10">
        <v>2945.752</v>
      </c>
      <c r="L131" s="10">
        <v>2165.0990000000002</v>
      </c>
      <c r="M131" s="10">
        <v>3326.8040000000001</v>
      </c>
      <c r="N131" s="10">
        <v>4241.9829773626998</v>
      </c>
      <c r="O131" s="7">
        <v>0.2356</v>
      </c>
      <c r="P131" s="7">
        <v>-9.7900000000000001E-2</v>
      </c>
      <c r="Q131" s="7">
        <v>2.0512000000000001</v>
      </c>
      <c r="R131" s="7">
        <v>-0.26500000000000001</v>
      </c>
      <c r="S131" s="7">
        <v>0.53659999999999997</v>
      </c>
      <c r="T131" s="7">
        <v>0.27510000000000001</v>
      </c>
      <c r="U131" s="7">
        <v>0.2356</v>
      </c>
      <c r="V131" s="7">
        <v>-9.7900000000000001E-2</v>
      </c>
      <c r="W131" s="7">
        <v>2.0512000000000001</v>
      </c>
      <c r="X131" s="7">
        <v>-0.26500000000000001</v>
      </c>
      <c r="Y131" s="7">
        <v>0.53659999999999997</v>
      </c>
      <c r="Z131" s="7">
        <v>0.27510000000000001</v>
      </c>
      <c r="AA131" s="10">
        <v>37251.816991200001</v>
      </c>
      <c r="AB131" s="10">
        <v>41431.888864799999</v>
      </c>
      <c r="AC131" s="10">
        <v>39341.852928</v>
      </c>
      <c r="AD131" s="10">
        <v>34362.649666800004</v>
      </c>
      <c r="AE131" s="10">
        <v>31350.440753750001</v>
      </c>
      <c r="AF131" s="10">
        <v>31944.893815799998</v>
      </c>
      <c r="AG131" s="10">
        <v>32902.370197199998</v>
      </c>
      <c r="AH131" s="10">
        <v>35950.5077151</v>
      </c>
      <c r="AI131" s="10">
        <v>42563.165869949997</v>
      </c>
      <c r="AJ131" s="10">
        <v>41911.213657499997</v>
      </c>
      <c r="AK131" s="10">
        <v>21883.905691200001</v>
      </c>
      <c r="AL131" s="10">
        <v>23666.583402</v>
      </c>
      <c r="AM131" s="14">
        <v>85</v>
      </c>
      <c r="AN131" s="14">
        <v>85</v>
      </c>
      <c r="AO131" s="14">
        <v>80</v>
      </c>
      <c r="AP131" s="14">
        <v>75</v>
      </c>
      <c r="AQ131" s="14">
        <v>90</v>
      </c>
      <c r="AR131" s="14">
        <v>90</v>
      </c>
      <c r="AS131" s="14">
        <v>90</v>
      </c>
      <c r="AT131" s="14">
        <v>85</v>
      </c>
      <c r="AU131" s="14">
        <v>80</v>
      </c>
      <c r="AV131" s="14">
        <v>80</v>
      </c>
      <c r="AW131" s="14">
        <v>85</v>
      </c>
      <c r="AX131" s="14">
        <v>85</v>
      </c>
    </row>
    <row r="132" spans="1:50" ht="20.100000000000001" customHeight="1">
      <c r="A132" s="1">
        <v>131</v>
      </c>
      <c r="B132" s="2" t="s">
        <v>129</v>
      </c>
      <c r="C132" s="10">
        <v>1486.9717000000001</v>
      </c>
      <c r="D132" s="10">
        <v>1809.6048000000001</v>
      </c>
      <c r="E132" s="10">
        <v>2673.8024</v>
      </c>
      <c r="F132" s="10">
        <v>4094.2873</v>
      </c>
      <c r="G132" s="10">
        <v>5350.8431</v>
      </c>
      <c r="H132" s="10">
        <v>6372.3236999999999</v>
      </c>
      <c r="I132" s="10">
        <v>2681.9810000000002</v>
      </c>
      <c r="J132" s="10">
        <v>3411.4960000000001</v>
      </c>
      <c r="K132" s="10">
        <v>5040.6949999999997</v>
      </c>
      <c r="L132" s="10">
        <v>7718.616</v>
      </c>
      <c r="M132" s="10">
        <v>10087.495000000001</v>
      </c>
      <c r="N132" s="10">
        <v>12013.2066030323</v>
      </c>
      <c r="O132" s="7">
        <v>9.2499999999999999E-2</v>
      </c>
      <c r="P132" s="7">
        <v>0.217</v>
      </c>
      <c r="Q132" s="7">
        <v>0.47760000000000002</v>
      </c>
      <c r="R132" s="7">
        <v>0.53129999999999999</v>
      </c>
      <c r="S132" s="7">
        <v>0.30690000000000001</v>
      </c>
      <c r="T132" s="7">
        <v>0.19089999999999999</v>
      </c>
      <c r="U132" s="7">
        <v>9.2499999999999999E-2</v>
      </c>
      <c r="V132" s="7">
        <v>0.27200000000000002</v>
      </c>
      <c r="W132" s="7">
        <v>0.47760000000000002</v>
      </c>
      <c r="X132" s="7">
        <v>0.53129999999999999</v>
      </c>
      <c r="Y132" s="7">
        <v>0.30690000000000001</v>
      </c>
      <c r="Z132" s="7">
        <v>0.19089999999999999</v>
      </c>
      <c r="AA132" s="10">
        <v>55191.794927399998</v>
      </c>
      <c r="AB132" s="10">
        <v>59384.295054000002</v>
      </c>
      <c r="AC132" s="10">
        <v>40532.137894</v>
      </c>
      <c r="AD132" s="10">
        <v>42417.353609999998</v>
      </c>
      <c r="AE132" s="10">
        <v>56179.428336800003</v>
      </c>
      <c r="AF132" s="10">
        <v>52691.779262199998</v>
      </c>
      <c r="AG132" s="10">
        <v>54294.212620799997</v>
      </c>
      <c r="AH132" s="10">
        <v>69564.459920399997</v>
      </c>
      <c r="AI132" s="10">
        <v>88039.573937199995</v>
      </c>
      <c r="AJ132" s="10">
        <v>93318.177941999995</v>
      </c>
      <c r="AK132" s="10">
        <v>19389.274361749998</v>
      </c>
      <c r="AL132" s="10">
        <v>30481.742950100001</v>
      </c>
      <c r="AM132" s="14">
        <v>95</v>
      </c>
      <c r="AN132" s="14">
        <v>95</v>
      </c>
      <c r="AO132" s="14">
        <v>95</v>
      </c>
      <c r="AP132" s="14">
        <v>100</v>
      </c>
      <c r="AQ132" s="14">
        <v>100</v>
      </c>
      <c r="AR132" s="14">
        <v>100</v>
      </c>
      <c r="AS132" s="14">
        <v>100</v>
      </c>
      <c r="AT132" s="14">
        <v>100</v>
      </c>
      <c r="AU132" s="14">
        <v>95</v>
      </c>
      <c r="AV132" s="14">
        <v>95</v>
      </c>
      <c r="AW132" s="14">
        <v>100</v>
      </c>
      <c r="AX132" s="14">
        <v>95</v>
      </c>
    </row>
    <row r="133" spans="1:50" ht="20.100000000000001" customHeight="1">
      <c r="A133" s="1">
        <v>132</v>
      </c>
      <c r="B133" s="2" t="s">
        <v>130</v>
      </c>
      <c r="C133" s="10">
        <v>1029.2321999999999</v>
      </c>
      <c r="D133" s="10">
        <v>1320.4341999999999</v>
      </c>
      <c r="E133" s="10">
        <v>1185.9204</v>
      </c>
      <c r="F133" s="10">
        <v>466.46899999999999</v>
      </c>
      <c r="G133" s="10">
        <v>937.69489999999996</v>
      </c>
      <c r="H133" s="10">
        <v>2506.2547</v>
      </c>
      <c r="I133" s="10">
        <v>239.706451474</v>
      </c>
      <c r="J133" s="10">
        <v>349.944708596</v>
      </c>
      <c r="K133" s="10">
        <v>314.293593407</v>
      </c>
      <c r="L133" s="10">
        <v>123.62335965699999</v>
      </c>
      <c r="M133" s="10">
        <v>336.159900134</v>
      </c>
      <c r="N133" s="10">
        <v>938.26657901119995</v>
      </c>
      <c r="O133" s="7">
        <v>2.4500000000000001E-2</v>
      </c>
      <c r="P133" s="7">
        <v>0.28289999999999998</v>
      </c>
      <c r="Q133" s="7">
        <v>-0.1019</v>
      </c>
      <c r="R133" s="7">
        <v>-0.60670000000000002</v>
      </c>
      <c r="S133" s="7">
        <v>1.0102</v>
      </c>
      <c r="T133" s="7">
        <v>1.6728000000000001</v>
      </c>
      <c r="U133" s="7">
        <v>2.4500000000000001E-2</v>
      </c>
      <c r="V133" s="7">
        <v>0.45989999999999998</v>
      </c>
      <c r="W133" s="7">
        <v>-0.1019</v>
      </c>
      <c r="X133" s="7">
        <v>-0.60670000000000002</v>
      </c>
      <c r="Y133" s="7">
        <v>1.7192000000000001</v>
      </c>
      <c r="Z133" s="7">
        <v>1.7910999999999999</v>
      </c>
      <c r="AA133" s="10">
        <v>3307.3678799999998</v>
      </c>
      <c r="AB133" s="10">
        <v>4795.6834259999996</v>
      </c>
      <c r="AC133" s="10">
        <v>5050.9019557499996</v>
      </c>
      <c r="AD133" s="10">
        <v>3680.52619895</v>
      </c>
      <c r="AE133" s="10">
        <v>4311.1270633499998</v>
      </c>
      <c r="AF133" s="10">
        <v>3868.473618</v>
      </c>
      <c r="AG133" s="10">
        <v>5869.4082479999997</v>
      </c>
      <c r="AH133" s="10">
        <v>4560.0694221000003</v>
      </c>
      <c r="AI133" s="10">
        <v>6008.6443101000004</v>
      </c>
      <c r="AJ133" s="10">
        <v>8385.8961087999996</v>
      </c>
      <c r="AK133" s="10">
        <v>1477.2909864000001</v>
      </c>
      <c r="AL133" s="10">
        <v>3037.2661698000002</v>
      </c>
      <c r="AM133" s="14">
        <v>65</v>
      </c>
      <c r="AN133" s="14">
        <v>55</v>
      </c>
      <c r="AO133" s="14">
        <v>70</v>
      </c>
      <c r="AP133" s="14">
        <v>100</v>
      </c>
      <c r="AQ133" s="14">
        <v>100</v>
      </c>
      <c r="AR133" s="14">
        <v>100</v>
      </c>
      <c r="AS133" s="14">
        <v>95</v>
      </c>
      <c r="AT133" s="14">
        <v>95</v>
      </c>
      <c r="AU133" s="14">
        <v>90</v>
      </c>
      <c r="AV133" s="14">
        <v>95</v>
      </c>
      <c r="AW133" s="14">
        <v>90</v>
      </c>
      <c r="AX133" s="14">
        <v>85</v>
      </c>
    </row>
    <row r="134" spans="1:50" ht="20.100000000000001" customHeight="1">
      <c r="A134" s="1">
        <v>133</v>
      </c>
      <c r="B134" s="2" t="s">
        <v>131</v>
      </c>
      <c r="C134" s="10">
        <v>568.28200000000004</v>
      </c>
      <c r="D134" s="10">
        <v>822.51639999999998</v>
      </c>
      <c r="E134" s="10">
        <v>910.29610000000002</v>
      </c>
      <c r="F134" s="10">
        <v>431.74360000000001</v>
      </c>
      <c r="G134" s="10">
        <v>737.37450000000001</v>
      </c>
      <c r="H134" s="10">
        <v>1002.8294</v>
      </c>
      <c r="I134" s="10">
        <v>228.40899999999999</v>
      </c>
      <c r="J134" s="10">
        <v>330.57100000000003</v>
      </c>
      <c r="K134" s="10">
        <v>365.78699999999998</v>
      </c>
      <c r="L134" s="10">
        <v>328.37900000000002</v>
      </c>
      <c r="M134" s="10">
        <v>560.822</v>
      </c>
      <c r="N134" s="10">
        <v>762.71792000000005</v>
      </c>
      <c r="O134" s="7">
        <v>-4.4999999999999997E-3</v>
      </c>
      <c r="P134" s="7">
        <v>0.44740000000000002</v>
      </c>
      <c r="Q134" s="7">
        <v>0.1067</v>
      </c>
      <c r="R134" s="7">
        <v>-0.52569999999999995</v>
      </c>
      <c r="S134" s="7">
        <v>0.70789999999999997</v>
      </c>
      <c r="T134" s="7">
        <v>0.36</v>
      </c>
      <c r="U134" s="7">
        <v>-4.4999999999999997E-3</v>
      </c>
      <c r="V134" s="7">
        <v>0.44729999999999998</v>
      </c>
      <c r="W134" s="7">
        <v>0.1065</v>
      </c>
      <c r="X134" s="7">
        <v>-0.1023</v>
      </c>
      <c r="Y134" s="7">
        <v>0.70779999999999998</v>
      </c>
      <c r="Z134" s="7">
        <v>0.36</v>
      </c>
      <c r="AA134" s="10">
        <v>3314.9156251499999</v>
      </c>
      <c r="AB134" s="10"/>
      <c r="AC134" s="10">
        <v>3244.86958</v>
      </c>
      <c r="AD134" s="10">
        <v>2977.0229828800002</v>
      </c>
      <c r="AE134" s="10">
        <v>3177.1294805500002</v>
      </c>
      <c r="AF134" s="10">
        <v>11267.972624</v>
      </c>
      <c r="AG134" s="10">
        <v>10070.7505327</v>
      </c>
      <c r="AH134" s="10">
        <v>6921.1487981999999</v>
      </c>
      <c r="AI134" s="10">
        <v>7985.9409210000003</v>
      </c>
      <c r="AJ134" s="10">
        <v>9354.9593645999994</v>
      </c>
      <c r="AK134" s="10">
        <v>1725.293016415</v>
      </c>
      <c r="AL134" s="10">
        <v>2582.5074086899999</v>
      </c>
      <c r="AM134" s="14">
        <v>100</v>
      </c>
      <c r="AN134" s="14">
        <v>82.53</v>
      </c>
      <c r="AO134" s="14">
        <v>100</v>
      </c>
      <c r="AP134" s="14">
        <v>95</v>
      </c>
      <c r="AQ134" s="14">
        <v>95</v>
      </c>
      <c r="AR134" s="14">
        <v>100</v>
      </c>
      <c r="AS134" s="14">
        <v>70</v>
      </c>
      <c r="AT134" s="14">
        <v>100</v>
      </c>
      <c r="AU134" s="14">
        <v>100</v>
      </c>
      <c r="AV134" s="14">
        <v>100</v>
      </c>
      <c r="AW134" s="14">
        <v>100</v>
      </c>
      <c r="AX134" s="14">
        <v>100</v>
      </c>
    </row>
    <row r="135" spans="1:50" ht="20.100000000000001" customHeight="1">
      <c r="A135" s="1">
        <v>134</v>
      </c>
      <c r="B135" s="2" t="s">
        <v>132</v>
      </c>
      <c r="C135" s="10">
        <v>1236.3957</v>
      </c>
      <c r="D135" s="10">
        <v>1761.5050000000001</v>
      </c>
      <c r="E135" s="10">
        <v>2232.6875</v>
      </c>
      <c r="F135" s="10">
        <v>2901.3892000000001</v>
      </c>
      <c r="G135" s="10">
        <v>3651.7111</v>
      </c>
      <c r="H135" s="10">
        <v>4184.3671000000004</v>
      </c>
      <c r="I135" s="10">
        <v>4248.9489999999996</v>
      </c>
      <c r="J135" s="10">
        <v>6053.5190000000002</v>
      </c>
      <c r="K135" s="10">
        <v>7749.7939999999999</v>
      </c>
      <c r="L135" s="10">
        <v>10070.897999999999</v>
      </c>
      <c r="M135" s="10">
        <v>12762.953</v>
      </c>
      <c r="N135" s="10">
        <v>16148.213355498599</v>
      </c>
      <c r="O135" s="7">
        <v>0.1971</v>
      </c>
      <c r="P135" s="7">
        <v>0.42470000000000002</v>
      </c>
      <c r="Q135" s="7">
        <v>0.26750000000000002</v>
      </c>
      <c r="R135" s="7">
        <v>0.29949999999999999</v>
      </c>
      <c r="S135" s="7">
        <v>0.2586</v>
      </c>
      <c r="T135" s="7">
        <v>0.1459</v>
      </c>
      <c r="U135" s="7">
        <v>0.1787</v>
      </c>
      <c r="V135" s="7">
        <v>0.42470000000000002</v>
      </c>
      <c r="W135" s="7">
        <v>0.2802</v>
      </c>
      <c r="X135" s="7">
        <v>0.29949999999999999</v>
      </c>
      <c r="Y135" s="7">
        <v>0.26729999999999998</v>
      </c>
      <c r="Z135" s="7">
        <v>0.26519999999999999</v>
      </c>
      <c r="AA135" s="10">
        <v>56578.739007999997</v>
      </c>
      <c r="AB135" s="10">
        <v>61459.651352000001</v>
      </c>
      <c r="AC135" s="10">
        <v>48293.018880000003</v>
      </c>
      <c r="AD135" s="10">
        <v>40118.419329999997</v>
      </c>
      <c r="AE135" s="10">
        <v>46783.86204</v>
      </c>
      <c r="AF135" s="10">
        <v>58718.777383000001</v>
      </c>
      <c r="AG135" s="10">
        <v>66988.66403</v>
      </c>
      <c r="AH135" s="10">
        <v>89124.048666000002</v>
      </c>
      <c r="AI135" s="10">
        <v>76192.323957600005</v>
      </c>
      <c r="AJ135" s="10">
        <v>120799.7156981</v>
      </c>
      <c r="AK135" s="10">
        <v>23954.848016799999</v>
      </c>
      <c r="AL135" s="10">
        <v>37851.973279999998</v>
      </c>
      <c r="AM135" s="14">
        <v>70</v>
      </c>
      <c r="AN135" s="14">
        <v>70</v>
      </c>
      <c r="AO135" s="14">
        <v>70</v>
      </c>
      <c r="AP135" s="14">
        <v>70</v>
      </c>
      <c r="AQ135" s="14">
        <v>70</v>
      </c>
      <c r="AR135" s="14">
        <v>70</v>
      </c>
      <c r="AS135" s="14">
        <v>75</v>
      </c>
      <c r="AT135" s="14">
        <v>75</v>
      </c>
      <c r="AU135" s="14">
        <v>75</v>
      </c>
      <c r="AV135" s="14">
        <v>75</v>
      </c>
      <c r="AW135" s="14">
        <v>70</v>
      </c>
      <c r="AX135" s="14">
        <v>70</v>
      </c>
    </row>
    <row r="136" spans="1:50" ht="20.100000000000001" customHeight="1">
      <c r="A136" s="1">
        <v>135</v>
      </c>
      <c r="B136" s="2" t="s">
        <v>133</v>
      </c>
      <c r="C136" s="10">
        <v>808.98699999999997</v>
      </c>
      <c r="D136" s="10">
        <v>1248.413</v>
      </c>
      <c r="E136" s="10">
        <v>1734.8457000000001</v>
      </c>
      <c r="F136" s="10">
        <v>1865.3143</v>
      </c>
      <c r="G136" s="10">
        <v>3254.08</v>
      </c>
      <c r="H136" s="10">
        <v>3123.0261</v>
      </c>
      <c r="I136" s="10">
        <v>1861.9079999999999</v>
      </c>
      <c r="J136" s="10">
        <v>2873.248</v>
      </c>
      <c r="K136" s="10">
        <v>4510.2529999999997</v>
      </c>
      <c r="L136" s="10">
        <v>5572.2460000000001</v>
      </c>
      <c r="M136" s="10">
        <v>9720.9</v>
      </c>
      <c r="N136" s="10">
        <v>9329.3596984478008</v>
      </c>
      <c r="O136" s="7">
        <v>0.16350000000000001</v>
      </c>
      <c r="P136" s="7">
        <v>0.54320000000000002</v>
      </c>
      <c r="Q136" s="7">
        <v>0.3896</v>
      </c>
      <c r="R136" s="7">
        <v>7.5200000000000003E-2</v>
      </c>
      <c r="S136" s="7">
        <v>0.74450000000000005</v>
      </c>
      <c r="T136" s="7">
        <v>-4.0300000000000002E-2</v>
      </c>
      <c r="U136" s="7">
        <v>0.16350000000000001</v>
      </c>
      <c r="V136" s="7">
        <v>0.54320000000000002</v>
      </c>
      <c r="W136" s="7">
        <v>0.56969999999999998</v>
      </c>
      <c r="X136" s="7">
        <v>0.23549999999999999</v>
      </c>
      <c r="Y136" s="7">
        <v>0.74450000000000005</v>
      </c>
      <c r="Z136" s="7">
        <v>-4.0300000000000002E-2</v>
      </c>
      <c r="AA136" s="10">
        <v>32185.435504249999</v>
      </c>
      <c r="AB136" s="10">
        <v>26840.067570200001</v>
      </c>
      <c r="AC136" s="10">
        <v>19621.797208650001</v>
      </c>
      <c r="AD136" s="10">
        <v>22651.280333899998</v>
      </c>
      <c r="AE136" s="10">
        <v>26195.946340350001</v>
      </c>
      <c r="AF136" s="10">
        <v>40282.458551999996</v>
      </c>
      <c r="AG136" s="10">
        <v>72124.782931199996</v>
      </c>
      <c r="AH136" s="10">
        <v>93352.999156250007</v>
      </c>
      <c r="AI136" s="10">
        <v>96339.847725</v>
      </c>
      <c r="AJ136" s="10">
        <v>147870.46395</v>
      </c>
      <c r="AK136" s="10">
        <v>7962.1287998500002</v>
      </c>
      <c r="AL136" s="10">
        <v>13325.522546</v>
      </c>
      <c r="AM136" s="14">
        <v>85</v>
      </c>
      <c r="AN136" s="14">
        <v>85</v>
      </c>
      <c r="AO136" s="14">
        <v>85</v>
      </c>
      <c r="AP136" s="14">
        <v>85</v>
      </c>
      <c r="AQ136" s="14">
        <v>85</v>
      </c>
      <c r="AR136" s="14">
        <v>90</v>
      </c>
      <c r="AS136" s="14">
        <v>90</v>
      </c>
      <c r="AT136" s="14">
        <v>95</v>
      </c>
      <c r="AU136" s="14">
        <v>95</v>
      </c>
      <c r="AV136" s="14">
        <v>95</v>
      </c>
      <c r="AW136" s="14">
        <v>85</v>
      </c>
      <c r="AX136" s="14">
        <v>85</v>
      </c>
    </row>
    <row r="137" spans="1:50" ht="20.100000000000001" customHeight="1">
      <c r="A137" s="1">
        <v>136</v>
      </c>
      <c r="B137" s="2" t="s">
        <v>134</v>
      </c>
      <c r="C137" s="10">
        <v>633.52170000000001</v>
      </c>
      <c r="D137" s="10">
        <v>1302.4659999999999</v>
      </c>
      <c r="E137" s="10">
        <v>1479.876</v>
      </c>
      <c r="F137" s="10">
        <v>1488.8506</v>
      </c>
      <c r="G137" s="10">
        <v>1769.6721</v>
      </c>
      <c r="H137" s="10">
        <v>1972.2837</v>
      </c>
      <c r="I137" s="10">
        <v>2011.144</v>
      </c>
      <c r="J137" s="10">
        <v>4034.74</v>
      </c>
      <c r="K137" s="10">
        <v>4616.2129999999997</v>
      </c>
      <c r="L137" s="10">
        <v>4644.2139999999999</v>
      </c>
      <c r="M137" s="10">
        <v>5519.3770000000004</v>
      </c>
      <c r="N137" s="10">
        <v>6151.5252667151999</v>
      </c>
      <c r="O137" s="7">
        <v>0</v>
      </c>
      <c r="P137" s="7">
        <v>1.0559000000000001</v>
      </c>
      <c r="Q137" s="7">
        <v>0.13619999999999999</v>
      </c>
      <c r="R137" s="7">
        <v>6.1000000000000004E-3</v>
      </c>
      <c r="S137" s="7">
        <v>0.18859999999999999</v>
      </c>
      <c r="T137" s="7">
        <v>0.1145</v>
      </c>
      <c r="U137" s="7">
        <v>0.92720000000000002</v>
      </c>
      <c r="V137" s="7">
        <v>1.0062</v>
      </c>
      <c r="W137" s="7">
        <v>0.14410000000000001</v>
      </c>
      <c r="X137" s="7">
        <v>6.1000000000000004E-3</v>
      </c>
      <c r="Y137" s="7">
        <v>0.18840000000000001</v>
      </c>
      <c r="Z137" s="7">
        <v>0.1145</v>
      </c>
      <c r="AA137" s="10">
        <v>34941.4</v>
      </c>
      <c r="AB137" s="10">
        <v>44297.5</v>
      </c>
      <c r="AC137" s="10">
        <v>25967.5</v>
      </c>
      <c r="AD137" s="10">
        <v>25000</v>
      </c>
      <c r="AE137" s="10">
        <v>25200</v>
      </c>
      <c r="AF137" s="10">
        <v>26000</v>
      </c>
      <c r="AG137" s="10">
        <v>28600</v>
      </c>
      <c r="AH137" s="10">
        <v>30290</v>
      </c>
      <c r="AI137" s="10">
        <v>31200</v>
      </c>
      <c r="AJ137" s="10">
        <v>37908</v>
      </c>
      <c r="AK137" s="10"/>
      <c r="AL137" s="10">
        <v>20200.171153200001</v>
      </c>
      <c r="AM137" s="14">
        <v>100</v>
      </c>
      <c r="AN137" s="14">
        <v>80</v>
      </c>
      <c r="AO137" s="14">
        <v>85</v>
      </c>
      <c r="AP137" s="14">
        <v>90</v>
      </c>
      <c r="AQ137" s="14">
        <v>85</v>
      </c>
      <c r="AR137" s="14">
        <v>85</v>
      </c>
      <c r="AS137" s="14">
        <v>90</v>
      </c>
      <c r="AT137" s="14">
        <v>90</v>
      </c>
      <c r="AU137" s="14">
        <v>70</v>
      </c>
      <c r="AV137" s="14">
        <v>70</v>
      </c>
      <c r="AW137" s="14">
        <v>100</v>
      </c>
      <c r="AX137" s="14">
        <v>100</v>
      </c>
    </row>
    <row r="138" spans="1:50" ht="20.100000000000001" customHeight="1">
      <c r="A138" s="1">
        <v>137</v>
      </c>
      <c r="B138" s="2" t="s">
        <v>135</v>
      </c>
      <c r="C138" s="10">
        <v>671.58519999999999</v>
      </c>
      <c r="D138" s="10">
        <v>1204.6338000000001</v>
      </c>
      <c r="E138" s="10">
        <v>1093.5663999999999</v>
      </c>
      <c r="F138" s="10">
        <v>1585.7941000000001</v>
      </c>
      <c r="G138" s="10">
        <v>2102.4176000000002</v>
      </c>
      <c r="H138" s="10"/>
      <c r="I138" s="10">
        <v>799.66399999999999</v>
      </c>
      <c r="J138" s="10">
        <v>1434.3630000000001</v>
      </c>
      <c r="K138" s="10">
        <v>1807.876</v>
      </c>
      <c r="L138" s="10">
        <v>2621.6190000000001</v>
      </c>
      <c r="M138" s="10">
        <v>3607.0929999999998</v>
      </c>
      <c r="N138" s="10"/>
      <c r="O138" s="7">
        <v>0</v>
      </c>
      <c r="P138" s="7">
        <v>0.79369999999999996</v>
      </c>
      <c r="Q138" s="7">
        <v>-9.2200000000000004E-2</v>
      </c>
      <c r="R138" s="7">
        <v>0.4501</v>
      </c>
      <c r="S138" s="7">
        <v>0.32579999999999998</v>
      </c>
      <c r="T138" s="7"/>
      <c r="U138" s="7">
        <v>9.2799999999999994E-2</v>
      </c>
      <c r="V138" s="7">
        <v>0.79369999999999996</v>
      </c>
      <c r="W138" s="7">
        <v>0.26040000000000002</v>
      </c>
      <c r="X138" s="7">
        <v>0.4501</v>
      </c>
      <c r="Y138" s="7">
        <v>0.37590000000000001</v>
      </c>
      <c r="Z138" s="7"/>
      <c r="AA138" s="10">
        <v>10182.416173644</v>
      </c>
      <c r="AB138" s="10">
        <v>10091.159665616</v>
      </c>
      <c r="AC138" s="10">
        <v>9025.4004894959999</v>
      </c>
      <c r="AD138" s="10">
        <v>7055.0328994350002</v>
      </c>
      <c r="AE138" s="10">
        <v>11897.485595016</v>
      </c>
      <c r="AF138" s="10">
        <v>16321.34995299</v>
      </c>
      <c r="AG138" s="10">
        <v>16875.76375925</v>
      </c>
      <c r="AH138" s="10">
        <v>21094.681320349999</v>
      </c>
      <c r="AI138" s="10">
        <v>22990.221762749999</v>
      </c>
      <c r="AJ138" s="10">
        <v>24963.238283999999</v>
      </c>
      <c r="AK138" s="10"/>
      <c r="AL138" s="10">
        <v>6755.4132763999996</v>
      </c>
      <c r="AM138" s="14">
        <v>100</v>
      </c>
      <c r="AN138" s="14">
        <v>80</v>
      </c>
      <c r="AO138" s="14">
        <v>65</v>
      </c>
      <c r="AP138" s="14">
        <v>60</v>
      </c>
      <c r="AQ138" s="14">
        <v>95</v>
      </c>
      <c r="AR138" s="14">
        <v>95</v>
      </c>
      <c r="AS138" s="14">
        <v>90</v>
      </c>
      <c r="AT138" s="14">
        <v>90</v>
      </c>
      <c r="AU138" s="14">
        <v>80</v>
      </c>
      <c r="AV138" s="14">
        <v>80</v>
      </c>
      <c r="AW138" s="14">
        <v>100</v>
      </c>
      <c r="AX138" s="14">
        <v>100</v>
      </c>
    </row>
    <row r="139" spans="1:50" ht="20.100000000000001" customHeight="1">
      <c r="A139" s="1">
        <v>138</v>
      </c>
      <c r="B139" s="2" t="s">
        <v>136</v>
      </c>
      <c r="C139" s="10">
        <v>628.29129999999998</v>
      </c>
      <c r="D139" s="10">
        <v>968.44349999999997</v>
      </c>
      <c r="E139" s="10">
        <v>1702.6975</v>
      </c>
      <c r="F139" s="10">
        <v>1613.6712</v>
      </c>
      <c r="G139" s="10">
        <v>2029.2617</v>
      </c>
      <c r="H139" s="10">
        <v>3243.0237000000002</v>
      </c>
      <c r="I139" s="10">
        <v>2607.0120000000002</v>
      </c>
      <c r="J139" s="10">
        <v>5007.1610000000001</v>
      </c>
      <c r="K139" s="10">
        <v>7728.9179999999997</v>
      </c>
      <c r="L139" s="10">
        <v>7324.7579999999998</v>
      </c>
      <c r="M139" s="10">
        <v>9321.9490000000005</v>
      </c>
      <c r="N139" s="10">
        <v>14897.4911493831</v>
      </c>
      <c r="O139" s="7">
        <v>-0.1065</v>
      </c>
      <c r="P139" s="7">
        <v>0.54139999999999999</v>
      </c>
      <c r="Q139" s="7">
        <v>0.75819999999999999</v>
      </c>
      <c r="R139" s="7">
        <v>-5.2299999999999999E-2</v>
      </c>
      <c r="S139" s="7">
        <v>0.25750000000000001</v>
      </c>
      <c r="T139" s="7">
        <v>0.59809999999999997</v>
      </c>
      <c r="U139" s="7">
        <v>7.8200000000000006E-2</v>
      </c>
      <c r="V139" s="7">
        <v>0.92069999999999996</v>
      </c>
      <c r="W139" s="7">
        <v>0.54359999999999997</v>
      </c>
      <c r="X139" s="7">
        <v>-5.2299999999999999E-2</v>
      </c>
      <c r="Y139" s="7">
        <v>0.2727</v>
      </c>
      <c r="Z139" s="7">
        <v>0.59809999999999997</v>
      </c>
      <c r="AA139" s="10">
        <v>55263.361083700001</v>
      </c>
      <c r="AB139" s="10">
        <v>59471.281569899998</v>
      </c>
      <c r="AC139" s="10">
        <v>36002.793775500002</v>
      </c>
      <c r="AD139" s="10">
        <v>30515.525749500001</v>
      </c>
      <c r="AE139" s="10">
        <v>38336.087625</v>
      </c>
      <c r="AF139" s="10">
        <v>39084.140811600002</v>
      </c>
      <c r="AG139" s="10">
        <v>41751.500858400002</v>
      </c>
      <c r="AH139" s="10">
        <v>37539.726648999997</v>
      </c>
      <c r="AI139" s="10">
        <v>52441.7355264</v>
      </c>
      <c r="AJ139" s="10">
        <v>75566.428135099995</v>
      </c>
      <c r="AK139" s="10">
        <v>22819.380219999999</v>
      </c>
      <c r="AL139" s="10">
        <v>29840.72798</v>
      </c>
      <c r="AM139" s="14">
        <v>83</v>
      </c>
      <c r="AN139" s="14">
        <v>81</v>
      </c>
      <c r="AO139" s="14">
        <v>80</v>
      </c>
      <c r="AP139" s="14">
        <v>80</v>
      </c>
      <c r="AQ139" s="14">
        <v>80</v>
      </c>
      <c r="AR139" s="14">
        <v>80</v>
      </c>
      <c r="AS139" s="14">
        <v>85</v>
      </c>
      <c r="AT139" s="14">
        <v>85</v>
      </c>
      <c r="AU139" s="14">
        <v>70</v>
      </c>
      <c r="AV139" s="14">
        <v>70</v>
      </c>
      <c r="AW139" s="14">
        <v>84</v>
      </c>
      <c r="AX139" s="14">
        <v>87</v>
      </c>
    </row>
    <row r="140" spans="1:50" ht="20.100000000000001" customHeight="1">
      <c r="A140" s="1">
        <v>139</v>
      </c>
      <c r="B140" s="2" t="s">
        <v>137</v>
      </c>
      <c r="C140" s="10">
        <v>0</v>
      </c>
      <c r="D140" s="10">
        <v>863.54600000000005</v>
      </c>
      <c r="E140" s="10">
        <v>1282.9063000000001</v>
      </c>
      <c r="F140" s="10">
        <v>1296.9867999999999</v>
      </c>
      <c r="G140" s="10">
        <v>1698.7746</v>
      </c>
      <c r="H140" s="10"/>
      <c r="I140" s="10">
        <v>1360.4649999999999</v>
      </c>
      <c r="J140" s="10">
        <v>2606.518</v>
      </c>
      <c r="K140" s="10">
        <v>4052.9279999999999</v>
      </c>
      <c r="L140" s="10">
        <v>3676.9549999999999</v>
      </c>
      <c r="M140" s="10">
        <v>4816.0259999999998</v>
      </c>
      <c r="N140" s="10"/>
      <c r="O140" s="7">
        <v>0</v>
      </c>
      <c r="P140" s="7">
        <v>0</v>
      </c>
      <c r="Q140" s="7">
        <v>0.48559999999999998</v>
      </c>
      <c r="R140" s="7">
        <v>1.0999999999999999E-2</v>
      </c>
      <c r="S140" s="7">
        <v>0.30980000000000002</v>
      </c>
      <c r="T140" s="7"/>
      <c r="U140" s="7">
        <v>0.23849999999999999</v>
      </c>
      <c r="V140" s="7">
        <v>0.91590000000000005</v>
      </c>
      <c r="W140" s="7">
        <v>0.55489999999999995</v>
      </c>
      <c r="X140" s="7">
        <v>-9.2799999999999994E-2</v>
      </c>
      <c r="Y140" s="7">
        <v>0.30980000000000002</v>
      </c>
      <c r="Z140" s="7"/>
      <c r="AA140" s="10">
        <v>49739.824159199998</v>
      </c>
      <c r="AB140" s="10">
        <v>67419.0696264</v>
      </c>
      <c r="AC140" s="10">
        <v>62596.44</v>
      </c>
      <c r="AD140" s="10">
        <v>67125.813017199995</v>
      </c>
      <c r="AE140" s="10">
        <v>66372.585000000006</v>
      </c>
      <c r="AF140" s="10">
        <v>59647.23</v>
      </c>
      <c r="AG140" s="10">
        <v>51910.559999999998</v>
      </c>
      <c r="AH140" s="10">
        <v>47486.25</v>
      </c>
      <c r="AI140" s="10">
        <v>51636.75</v>
      </c>
      <c r="AJ140" s="10">
        <v>48934</v>
      </c>
      <c r="AK140" s="10"/>
      <c r="AL140" s="10"/>
      <c r="AM140" s="14">
        <v>100</v>
      </c>
      <c r="AN140" s="14">
        <v>83</v>
      </c>
      <c r="AO140" s="14">
        <v>75</v>
      </c>
      <c r="AP140" s="14">
        <v>80</v>
      </c>
      <c r="AQ140" s="14">
        <v>75</v>
      </c>
      <c r="AR140" s="14">
        <v>55</v>
      </c>
      <c r="AS140" s="14">
        <v>60</v>
      </c>
      <c r="AT140" s="14">
        <v>70</v>
      </c>
      <c r="AU140" s="14">
        <v>55</v>
      </c>
      <c r="AV140" s="14">
        <v>55</v>
      </c>
      <c r="AW140" s="14">
        <v>100</v>
      </c>
      <c r="AX140" s="14">
        <v>100</v>
      </c>
    </row>
    <row r="141" spans="1:50" ht="20.100000000000001" customHeight="1">
      <c r="A141" s="1">
        <v>140</v>
      </c>
      <c r="B141" s="2" t="s">
        <v>138</v>
      </c>
      <c r="C141" s="10">
        <v>3350.2084</v>
      </c>
      <c r="D141" s="10">
        <v>3237.5241000000001</v>
      </c>
      <c r="E141" s="10">
        <v>5092.5002000000004</v>
      </c>
      <c r="F141" s="10">
        <v>5489.3620000000001</v>
      </c>
      <c r="G141" s="10">
        <v>5623.0599000000002</v>
      </c>
      <c r="H141" s="10">
        <v>6404.4660000000003</v>
      </c>
      <c r="I141" s="10">
        <v>1069.310105261</v>
      </c>
      <c r="J141" s="10">
        <v>1029.0421656450001</v>
      </c>
      <c r="K141" s="10">
        <v>1810.691843397</v>
      </c>
      <c r="L141" s="10">
        <v>1971.099177135</v>
      </c>
      <c r="M141" s="10">
        <v>2112.9162829460001</v>
      </c>
      <c r="N141" s="10">
        <v>2410.3450019073998</v>
      </c>
      <c r="O141" s="7">
        <v>-0.11310000000000001</v>
      </c>
      <c r="P141" s="7">
        <v>-3.3599999999999998E-2</v>
      </c>
      <c r="Q141" s="7">
        <v>0.57299999999999995</v>
      </c>
      <c r="R141" s="7">
        <v>7.7899999999999997E-2</v>
      </c>
      <c r="S141" s="7">
        <v>2.4400000000000002E-2</v>
      </c>
      <c r="T141" s="7">
        <v>0.13900000000000001</v>
      </c>
      <c r="U141" s="7">
        <v>-0.10440000000000001</v>
      </c>
      <c r="V141" s="7">
        <v>-3.7699999999999997E-2</v>
      </c>
      <c r="W141" s="7">
        <v>0.75960000000000005</v>
      </c>
      <c r="X141" s="7">
        <v>8.8599999999999998E-2</v>
      </c>
      <c r="Y141" s="7">
        <v>7.1900000000000006E-2</v>
      </c>
      <c r="Z141" s="7">
        <v>0.14080000000000001</v>
      </c>
      <c r="AA141" s="10">
        <v>22759.392956299998</v>
      </c>
      <c r="AB141" s="10">
        <v>21872.6633606</v>
      </c>
      <c r="AC141" s="10">
        <v>31144.1033455</v>
      </c>
      <c r="AD141" s="10">
        <v>29487.447045199999</v>
      </c>
      <c r="AE141" s="10">
        <v>24599.972174999999</v>
      </c>
      <c r="AF141" s="10">
        <v>28207.968094</v>
      </c>
      <c r="AG141" s="10">
        <v>31950.443805499999</v>
      </c>
      <c r="AH141" s="10">
        <v>33080.920744299998</v>
      </c>
      <c r="AI141" s="10">
        <v>28079.923532699999</v>
      </c>
      <c r="AJ141" s="10">
        <v>30464.615255100001</v>
      </c>
      <c r="AK141" s="10">
        <v>12922.1190924</v>
      </c>
      <c r="AL141" s="10">
        <v>18422.867042999998</v>
      </c>
      <c r="AM141" s="14">
        <v>80</v>
      </c>
      <c r="AN141" s="14">
        <v>80</v>
      </c>
      <c r="AO141" s="14">
        <v>85</v>
      </c>
      <c r="AP141" s="14">
        <v>85</v>
      </c>
      <c r="AQ141" s="14">
        <v>85</v>
      </c>
      <c r="AR141" s="14">
        <v>85</v>
      </c>
      <c r="AS141" s="14">
        <v>85</v>
      </c>
      <c r="AT141" s="14">
        <v>85</v>
      </c>
      <c r="AU141" s="14">
        <v>90</v>
      </c>
      <c r="AV141" s="14">
        <v>90</v>
      </c>
      <c r="AW141" s="14">
        <v>80</v>
      </c>
      <c r="AX141" s="14">
        <v>80</v>
      </c>
    </row>
    <row r="142" spans="1:50" ht="20.100000000000001" customHeight="1">
      <c r="A142" s="1">
        <v>141</v>
      </c>
      <c r="B142" s="2" t="s">
        <v>139</v>
      </c>
      <c r="C142" s="10"/>
      <c r="D142" s="10"/>
      <c r="E142" s="10">
        <v>0</v>
      </c>
      <c r="F142" s="10"/>
      <c r="G142" s="10">
        <v>0</v>
      </c>
      <c r="H142" s="10">
        <v>323.42610000000002</v>
      </c>
      <c r="I142" s="10"/>
      <c r="J142" s="10"/>
      <c r="K142" s="10">
        <v>0</v>
      </c>
      <c r="L142" s="10"/>
      <c r="M142" s="10">
        <v>2549.7240000000002</v>
      </c>
      <c r="N142" s="10">
        <v>580</v>
      </c>
      <c r="O142" s="7"/>
      <c r="P142" s="7"/>
      <c r="Q142" s="7">
        <v>0</v>
      </c>
      <c r="R142" s="7"/>
      <c r="S142" s="7">
        <v>0</v>
      </c>
      <c r="T142" s="7">
        <v>0</v>
      </c>
      <c r="U142" s="7"/>
      <c r="V142" s="7"/>
      <c r="W142" s="7">
        <v>0</v>
      </c>
      <c r="X142" s="7"/>
      <c r="Y142" s="7">
        <v>0</v>
      </c>
      <c r="Z142" s="7">
        <v>-0.77249999999999996</v>
      </c>
      <c r="AA142" s="10"/>
      <c r="AB142" s="10"/>
      <c r="AC142" s="10"/>
      <c r="AD142" s="10"/>
      <c r="AE142" s="10"/>
      <c r="AF142" s="10"/>
      <c r="AG142" s="10"/>
      <c r="AH142" s="10"/>
      <c r="AI142" s="10">
        <v>169646.21566419999</v>
      </c>
      <c r="AJ142" s="10">
        <v>129117.627144</v>
      </c>
      <c r="AK142" s="10"/>
      <c r="AL142" s="10"/>
      <c r="AM142" s="14">
        <v>100</v>
      </c>
      <c r="AN142" s="14">
        <v>100</v>
      </c>
      <c r="AO142" s="14">
        <v>100</v>
      </c>
      <c r="AP142" s="14">
        <v>100</v>
      </c>
      <c r="AQ142" s="14">
        <v>100</v>
      </c>
      <c r="AR142" s="14">
        <v>100</v>
      </c>
      <c r="AS142" s="14">
        <v>100</v>
      </c>
      <c r="AT142" s="14">
        <v>100</v>
      </c>
      <c r="AU142" s="14">
        <v>14.45</v>
      </c>
      <c r="AV142" s="14">
        <v>14.45</v>
      </c>
      <c r="AW142" s="14">
        <v>100</v>
      </c>
      <c r="AX142" s="14">
        <v>100</v>
      </c>
    </row>
    <row r="143" spans="1:50" ht="20.100000000000001" customHeight="1">
      <c r="A143" s="1">
        <v>142</v>
      </c>
      <c r="B143" s="2" t="s">
        <v>140</v>
      </c>
      <c r="C143" s="10">
        <v>1586.4857999999999</v>
      </c>
      <c r="D143" s="10">
        <v>1955.4902999999999</v>
      </c>
      <c r="E143" s="10">
        <v>2782.2107000000001</v>
      </c>
      <c r="F143" s="10">
        <v>303.89139999999998</v>
      </c>
      <c r="G143" s="10">
        <v>1095.3802000000001</v>
      </c>
      <c r="H143" s="10">
        <v>5152.5565999999999</v>
      </c>
      <c r="I143" s="10">
        <v>124.820676006</v>
      </c>
      <c r="J143" s="10">
        <v>160.072053012</v>
      </c>
      <c r="K143" s="10">
        <v>239.38039620999999</v>
      </c>
      <c r="L143" s="10">
        <v>34.589176516000002</v>
      </c>
      <c r="M143" s="10">
        <v>124.97322411099999</v>
      </c>
      <c r="N143" s="10">
        <v>560.87661653769999</v>
      </c>
      <c r="O143" s="7">
        <v>1.4455</v>
      </c>
      <c r="P143" s="7">
        <v>0.2326</v>
      </c>
      <c r="Q143" s="7">
        <v>0.42280000000000001</v>
      </c>
      <c r="R143" s="7">
        <v>-0.89080000000000004</v>
      </c>
      <c r="S143" s="7">
        <v>2.6044999999999998</v>
      </c>
      <c r="T143" s="7">
        <v>3.7039</v>
      </c>
      <c r="U143" s="7">
        <v>1.4455</v>
      </c>
      <c r="V143" s="7">
        <v>0.28239999999999998</v>
      </c>
      <c r="W143" s="7">
        <v>0.4955</v>
      </c>
      <c r="X143" s="7">
        <v>-0.85550000000000004</v>
      </c>
      <c r="Y143" s="7">
        <v>2.6131000000000002</v>
      </c>
      <c r="Z143" s="7">
        <v>3.488</v>
      </c>
      <c r="AA143" s="10">
        <v>1117.7473788</v>
      </c>
      <c r="AB143" s="10">
        <v>1445.8958743999999</v>
      </c>
      <c r="AC143" s="10">
        <v>960.62945079999997</v>
      </c>
      <c r="AD143" s="10">
        <v>928.17797419999999</v>
      </c>
      <c r="AE143" s="10">
        <v>1380.3881227500001</v>
      </c>
      <c r="AF143" s="10">
        <v>1298.6431534999999</v>
      </c>
      <c r="AG143" s="10">
        <v>1735.15084815</v>
      </c>
      <c r="AH143" s="10">
        <v>1821.1025929499999</v>
      </c>
      <c r="AI143" s="10">
        <v>1611.5952150000001</v>
      </c>
      <c r="AJ143" s="10">
        <v>1149.6045867</v>
      </c>
      <c r="AK143" s="10">
        <v>439.32154800000001</v>
      </c>
      <c r="AL143" s="10">
        <v>688.27042519999998</v>
      </c>
      <c r="AM143" s="14">
        <v>60</v>
      </c>
      <c r="AN143" s="14">
        <v>65</v>
      </c>
      <c r="AO143" s="14">
        <v>65</v>
      </c>
      <c r="AP143" s="14">
        <v>65</v>
      </c>
      <c r="AQ143" s="14">
        <v>60</v>
      </c>
      <c r="AR143" s="14">
        <v>60</v>
      </c>
      <c r="AS143" s="14">
        <v>60</v>
      </c>
      <c r="AT143" s="14">
        <v>65</v>
      </c>
      <c r="AU143" s="14">
        <v>65</v>
      </c>
      <c r="AV143" s="14">
        <v>65</v>
      </c>
      <c r="AW143" s="14">
        <v>55</v>
      </c>
      <c r="AX143" s="14">
        <v>55</v>
      </c>
    </row>
    <row r="144" spans="1:50" ht="20.100000000000001" customHeight="1">
      <c r="A144" s="1">
        <v>143</v>
      </c>
      <c r="B144" s="2" t="s">
        <v>141</v>
      </c>
      <c r="C144" s="10">
        <v>1169.0015000000001</v>
      </c>
      <c r="D144" s="10">
        <v>1289.7849000000001</v>
      </c>
      <c r="E144" s="10">
        <v>898.00729999999999</v>
      </c>
      <c r="F144" s="10">
        <v>362.08319999999998</v>
      </c>
      <c r="G144" s="10">
        <v>211.77860000000001</v>
      </c>
      <c r="H144" s="10"/>
      <c r="I144" s="10">
        <v>123.015191731</v>
      </c>
      <c r="J144" s="10">
        <v>307.34283584799999</v>
      </c>
      <c r="K144" s="10">
        <v>299.86618113399999</v>
      </c>
      <c r="L144" s="10">
        <v>121.596600643</v>
      </c>
      <c r="M144" s="10">
        <v>71.119706141999998</v>
      </c>
      <c r="N144" s="10"/>
      <c r="O144" s="7">
        <v>0.64780000000000004</v>
      </c>
      <c r="P144" s="7">
        <v>0.1033</v>
      </c>
      <c r="Q144" s="7">
        <v>-0.30380000000000001</v>
      </c>
      <c r="R144" s="7">
        <v>-0.5968</v>
      </c>
      <c r="S144" s="7">
        <v>-0.41510000000000002</v>
      </c>
      <c r="T144" s="7"/>
      <c r="U144" s="7">
        <v>0.65969999999999995</v>
      </c>
      <c r="V144" s="7">
        <v>1.4984</v>
      </c>
      <c r="W144" s="7">
        <v>-2.4299999999999999E-2</v>
      </c>
      <c r="X144" s="7">
        <v>-0.59450000000000003</v>
      </c>
      <c r="Y144" s="7">
        <v>-0.41510000000000002</v>
      </c>
      <c r="Z144" s="7"/>
      <c r="AA144" s="10">
        <v>1071.4755556</v>
      </c>
      <c r="AB144" s="10">
        <v>4360.4575999999997</v>
      </c>
      <c r="AC144" s="10">
        <v>2235.2063078400001</v>
      </c>
      <c r="AD144" s="10">
        <v>1400.5168819200001</v>
      </c>
      <c r="AE144" s="10">
        <v>2513.0323475599998</v>
      </c>
      <c r="AF144" s="10">
        <v>2012.6873244799999</v>
      </c>
      <c r="AG144" s="10">
        <v>1993.5697285799999</v>
      </c>
      <c r="AH144" s="10">
        <v>1558.2077742399999</v>
      </c>
      <c r="AI144" s="10">
        <v>654.85024995000003</v>
      </c>
      <c r="AJ144" s="10">
        <v>634.70101149000004</v>
      </c>
      <c r="AK144" s="10">
        <v>405.67972830000002</v>
      </c>
      <c r="AL144" s="10">
        <v>550.98197349999998</v>
      </c>
      <c r="AM144" s="14">
        <v>15</v>
      </c>
      <c r="AN144" s="14">
        <v>20</v>
      </c>
      <c r="AO144" s="14">
        <v>35</v>
      </c>
      <c r="AP144" s="14">
        <v>30</v>
      </c>
      <c r="AQ144" s="14">
        <v>30</v>
      </c>
      <c r="AR144" s="14">
        <v>50</v>
      </c>
      <c r="AS144" s="14">
        <v>50</v>
      </c>
      <c r="AT144" s="14">
        <v>55</v>
      </c>
      <c r="AU144" s="14">
        <v>55</v>
      </c>
      <c r="AV144" s="14">
        <v>55</v>
      </c>
      <c r="AW144" s="14">
        <v>30</v>
      </c>
      <c r="AX144" s="14">
        <v>30</v>
      </c>
    </row>
    <row r="145" spans="1:50" ht="20.100000000000001" customHeight="1">
      <c r="A145" s="1">
        <v>144</v>
      </c>
      <c r="B145" s="2" t="s">
        <v>142</v>
      </c>
      <c r="C145" s="10">
        <v>2225.0014000000001</v>
      </c>
      <c r="D145" s="10">
        <v>1860.6488999999999</v>
      </c>
      <c r="E145" s="10">
        <v>2083.4792000000002</v>
      </c>
      <c r="F145" s="10">
        <v>1813.6261</v>
      </c>
      <c r="G145" s="10">
        <v>1997.0631000000001</v>
      </c>
      <c r="H145" s="10"/>
      <c r="I145" s="10">
        <v>230.73827557000001</v>
      </c>
      <c r="J145" s="10">
        <v>192.954002844</v>
      </c>
      <c r="K145" s="10">
        <v>216.06206736600001</v>
      </c>
      <c r="L145" s="10">
        <v>188.07761545700001</v>
      </c>
      <c r="M145" s="10">
        <v>207.10033761</v>
      </c>
      <c r="N145" s="10"/>
      <c r="O145" s="7">
        <v>0.53039999999999998</v>
      </c>
      <c r="P145" s="7">
        <v>-0.1638</v>
      </c>
      <c r="Q145" s="7">
        <v>0.1198</v>
      </c>
      <c r="R145" s="7">
        <v>-0.1295</v>
      </c>
      <c r="S145" s="7">
        <v>0.1011</v>
      </c>
      <c r="T145" s="7"/>
      <c r="U145" s="7">
        <v>0.53039999999999998</v>
      </c>
      <c r="V145" s="7">
        <v>-0.1638</v>
      </c>
      <c r="W145" s="7">
        <v>0.1198</v>
      </c>
      <c r="X145" s="7">
        <v>-0.1295</v>
      </c>
      <c r="Y145" s="7">
        <v>0.1011</v>
      </c>
      <c r="Z145" s="7"/>
      <c r="AA145" s="10">
        <v>1543.1879333320001</v>
      </c>
      <c r="AB145" s="10">
        <v>1747.3876439799999</v>
      </c>
      <c r="AC145" s="10">
        <v>1122.81558348</v>
      </c>
      <c r="AD145" s="10">
        <v>1206.9089084560001</v>
      </c>
      <c r="AE145" s="10">
        <v>1315.1366406</v>
      </c>
      <c r="AF145" s="10">
        <v>1315.1366406</v>
      </c>
      <c r="AG145" s="10">
        <v>1607.3892274</v>
      </c>
      <c r="AH145" s="10">
        <v>1835.5334003999999</v>
      </c>
      <c r="AI145" s="10">
        <v>1602.2028834</v>
      </c>
      <c r="AJ145" s="10">
        <v>1477.759941</v>
      </c>
      <c r="AK145" s="10">
        <v>573.09789521200003</v>
      </c>
      <c r="AL145" s="10">
        <v>1033.442856936</v>
      </c>
      <c r="AM145" s="14">
        <v>100</v>
      </c>
      <c r="AN145" s="14">
        <v>25</v>
      </c>
      <c r="AO145" s="14">
        <v>10</v>
      </c>
      <c r="AP145" s="14">
        <v>25</v>
      </c>
      <c r="AQ145" s="14">
        <v>24.476299999999998</v>
      </c>
      <c r="AR145" s="14">
        <v>35</v>
      </c>
      <c r="AS145" s="14">
        <v>35</v>
      </c>
      <c r="AT145" s="14">
        <v>30</v>
      </c>
      <c r="AU145" s="14">
        <v>30</v>
      </c>
      <c r="AV145" s="14">
        <v>30</v>
      </c>
      <c r="AW145" s="14">
        <v>100</v>
      </c>
      <c r="AX145" s="14">
        <v>100</v>
      </c>
    </row>
    <row r="146" spans="1:50" ht="20.100000000000001" customHeight="1">
      <c r="A146" s="1">
        <v>145</v>
      </c>
      <c r="B146" s="2" t="s">
        <v>143</v>
      </c>
      <c r="C146" s="10">
        <v>3971.6489000000001</v>
      </c>
      <c r="D146" s="10">
        <v>5924.4760999999999</v>
      </c>
      <c r="E146" s="10">
        <v>4076.8321999999998</v>
      </c>
      <c r="F146" s="10">
        <v>3322.9335999999998</v>
      </c>
      <c r="G146" s="10">
        <v>3748.0374000000002</v>
      </c>
      <c r="H146" s="10">
        <v>3599.1361999999999</v>
      </c>
      <c r="I146" s="10">
        <v>198.630145954</v>
      </c>
      <c r="J146" s="10">
        <v>296.29495814500001</v>
      </c>
      <c r="K146" s="10">
        <v>203.89057170000001</v>
      </c>
      <c r="L146" s="10">
        <v>166.186589658</v>
      </c>
      <c r="M146" s="10">
        <v>187.44688340799999</v>
      </c>
      <c r="N146" s="10">
        <v>180</v>
      </c>
      <c r="O146" s="7">
        <v>0.39200000000000002</v>
      </c>
      <c r="P146" s="7">
        <v>0.49170000000000003</v>
      </c>
      <c r="Q146" s="7">
        <v>-0.31190000000000001</v>
      </c>
      <c r="R146" s="7">
        <v>-0.18490000000000001</v>
      </c>
      <c r="S146" s="7">
        <v>0.12790000000000001</v>
      </c>
      <c r="T146" s="7">
        <v>-3.9699999999999999E-2</v>
      </c>
      <c r="U146" s="7">
        <v>0.39200000000000002</v>
      </c>
      <c r="V146" s="7">
        <v>0.49170000000000003</v>
      </c>
      <c r="W146" s="7">
        <v>-0.31190000000000001</v>
      </c>
      <c r="X146" s="7">
        <v>-0.18490000000000001</v>
      </c>
      <c r="Y146" s="7">
        <v>0.12790000000000001</v>
      </c>
      <c r="Z146" s="7">
        <v>-3.9699999999999999E-2</v>
      </c>
      <c r="AA146" s="10">
        <v>2268.0446535000001</v>
      </c>
      <c r="AB146" s="10">
        <v>2650.6365300000002</v>
      </c>
      <c r="AC146" s="10">
        <v>1640.393928</v>
      </c>
      <c r="AD146" s="10">
        <v>1067.7564135</v>
      </c>
      <c r="AE146" s="10">
        <v>1330.3194659999999</v>
      </c>
      <c r="AF146" s="10">
        <v>1515.3639029999999</v>
      </c>
      <c r="AG146" s="10">
        <v>1870.4491740000001</v>
      </c>
      <c r="AH146" s="10">
        <v>1775.4263550000001</v>
      </c>
      <c r="AI146" s="10">
        <v>1612.8873225</v>
      </c>
      <c r="AJ146" s="10">
        <v>1532.8681065000001</v>
      </c>
      <c r="AK146" s="10">
        <v>880.21137599999997</v>
      </c>
      <c r="AL146" s="10">
        <v>1715.4119430000001</v>
      </c>
      <c r="AM146" s="14">
        <v>30</v>
      </c>
      <c r="AN146" s="14">
        <v>25</v>
      </c>
      <c r="AO146" s="14">
        <v>45</v>
      </c>
      <c r="AP146" s="14">
        <v>55</v>
      </c>
      <c r="AQ146" s="14">
        <v>51.334699999999998</v>
      </c>
      <c r="AR146" s="14">
        <v>50</v>
      </c>
      <c r="AS146" s="14">
        <v>55</v>
      </c>
      <c r="AT146" s="14">
        <v>55</v>
      </c>
      <c r="AU146" s="14">
        <v>50</v>
      </c>
      <c r="AV146" s="14">
        <v>50</v>
      </c>
      <c r="AW146" s="14">
        <v>50</v>
      </c>
      <c r="AX146" s="14">
        <v>30</v>
      </c>
    </row>
    <row r="147" spans="1:50" ht="20.100000000000001" customHeight="1">
      <c r="A147" s="1">
        <v>146</v>
      </c>
      <c r="B147" s="2" t="s">
        <v>144</v>
      </c>
      <c r="C147" s="10">
        <v>303.42779999999999</v>
      </c>
      <c r="D147" s="10">
        <v>821.64419999999996</v>
      </c>
      <c r="E147" s="10">
        <v>-198.6079</v>
      </c>
      <c r="F147" s="10">
        <v>418.67950000000002</v>
      </c>
      <c r="G147" s="10">
        <v>188.8646</v>
      </c>
      <c r="H147" s="10"/>
      <c r="I147" s="10">
        <v>92.293322388000007</v>
      </c>
      <c r="J147" s="10">
        <v>249.91868740000001</v>
      </c>
      <c r="K147" s="10">
        <v>-60.410352775</v>
      </c>
      <c r="L147" s="10">
        <v>127.34932304900001</v>
      </c>
      <c r="M147" s="10">
        <v>57.446751272999997</v>
      </c>
      <c r="N147" s="10"/>
      <c r="O147" s="7">
        <v>-0.79120000000000001</v>
      </c>
      <c r="P147" s="7">
        <v>1.7079</v>
      </c>
      <c r="Q147" s="7"/>
      <c r="R147" s="7"/>
      <c r="S147" s="7">
        <v>-0.54890000000000005</v>
      </c>
      <c r="T147" s="7"/>
      <c r="U147" s="7">
        <v>-0.79339999999999999</v>
      </c>
      <c r="V147" s="7">
        <v>1.7079</v>
      </c>
      <c r="W147" s="7"/>
      <c r="X147" s="7"/>
      <c r="Y147" s="7">
        <v>-0.54890000000000005</v>
      </c>
      <c r="Z147" s="7"/>
      <c r="AA147" s="10">
        <v>9177.9619954000009</v>
      </c>
      <c r="AB147" s="10">
        <v>10128.813747300001</v>
      </c>
      <c r="AC147" s="10">
        <v>8303.8022612999994</v>
      </c>
      <c r="AD147" s="10">
        <v>1399.1754725999999</v>
      </c>
      <c r="AE147" s="10">
        <v>1350.5084996400001</v>
      </c>
      <c r="AF147" s="10">
        <v>1660.76045226</v>
      </c>
      <c r="AG147" s="10">
        <v>1840.2199150500001</v>
      </c>
      <c r="AH147" s="10">
        <v>1420.4672732700001</v>
      </c>
      <c r="AI147" s="10">
        <v>1292.71646925</v>
      </c>
      <c r="AJ147" s="10">
        <v>1402.2171584099999</v>
      </c>
      <c r="AK147" s="10">
        <v>6577.8714716000004</v>
      </c>
      <c r="AL147" s="10">
        <v>7538.0955869999998</v>
      </c>
      <c r="AM147" s="14">
        <v>55</v>
      </c>
      <c r="AN147" s="14">
        <v>55</v>
      </c>
      <c r="AO147" s="14">
        <v>55</v>
      </c>
      <c r="AP147" s="14">
        <v>55</v>
      </c>
      <c r="AQ147" s="14">
        <v>85</v>
      </c>
      <c r="AR147" s="14">
        <v>85</v>
      </c>
      <c r="AS147" s="14">
        <v>85</v>
      </c>
      <c r="AT147" s="14">
        <v>85</v>
      </c>
      <c r="AU147" s="14">
        <v>75</v>
      </c>
      <c r="AV147" s="14">
        <v>65</v>
      </c>
      <c r="AW147" s="14">
        <v>40</v>
      </c>
      <c r="AX147" s="14">
        <v>55</v>
      </c>
    </row>
    <row r="148" spans="1:50" ht="20.100000000000001" customHeight="1">
      <c r="A148" s="1">
        <v>147</v>
      </c>
      <c r="B148" s="2" t="s">
        <v>145</v>
      </c>
      <c r="C148" s="10">
        <v>336.12639999999999</v>
      </c>
      <c r="D148" s="10">
        <v>241.30070000000001</v>
      </c>
      <c r="E148" s="10">
        <v>-79.858500000000006</v>
      </c>
      <c r="F148" s="10">
        <v>142.0917</v>
      </c>
      <c r="G148" s="10">
        <v>488.1499</v>
      </c>
      <c r="H148" s="10"/>
      <c r="I148" s="10">
        <v>77.331245623000001</v>
      </c>
      <c r="J148" s="10">
        <v>58.849376122999999</v>
      </c>
      <c r="K148" s="10">
        <v>-19.476217686999998</v>
      </c>
      <c r="L148" s="10">
        <v>34.653893038</v>
      </c>
      <c r="M148" s="10">
        <v>119.05195872100001</v>
      </c>
      <c r="N148" s="10"/>
      <c r="O148" s="7">
        <v>0</v>
      </c>
      <c r="P148" s="7">
        <v>-0.28210000000000002</v>
      </c>
      <c r="Q148" s="7"/>
      <c r="R148" s="7"/>
      <c r="S148" s="7">
        <v>2.4355000000000002</v>
      </c>
      <c r="T148" s="7"/>
      <c r="U148" s="7">
        <v>-0.82340000000000002</v>
      </c>
      <c r="V148" s="7">
        <v>-0.23899999999999999</v>
      </c>
      <c r="W148" s="7"/>
      <c r="X148" s="7"/>
      <c r="Y148" s="7">
        <v>2.4355000000000002</v>
      </c>
      <c r="Z148" s="7"/>
      <c r="AA148" s="10">
        <v>11433.2961012</v>
      </c>
      <c r="AB148" s="10">
        <v>7248.2414703000004</v>
      </c>
      <c r="AC148" s="10">
        <v>2926.6112159999998</v>
      </c>
      <c r="AD148" s="10">
        <v>1719.3840894</v>
      </c>
      <c r="AE148" s="10">
        <v>2121.7931315999999</v>
      </c>
      <c r="AF148" s="10">
        <v>1873.0311782399999</v>
      </c>
      <c r="AG148" s="10">
        <v>2194.958412</v>
      </c>
      <c r="AH148" s="10">
        <v>1707.1898759999999</v>
      </c>
      <c r="AI148" s="10">
        <v>1499.8882481999999</v>
      </c>
      <c r="AJ148" s="10">
        <v>1553.54278716</v>
      </c>
      <c r="AK148" s="10"/>
      <c r="AL148" s="10">
        <v>10971.4649572</v>
      </c>
      <c r="AM148" s="14">
        <v>100</v>
      </c>
      <c r="AN148" s="14">
        <v>65</v>
      </c>
      <c r="AO148" s="14">
        <v>60</v>
      </c>
      <c r="AP148" s="14">
        <v>60</v>
      </c>
      <c r="AQ148" s="14">
        <v>60</v>
      </c>
      <c r="AR148" s="14">
        <v>65</v>
      </c>
      <c r="AS148" s="14">
        <v>65</v>
      </c>
      <c r="AT148" s="14">
        <v>70</v>
      </c>
      <c r="AU148" s="14">
        <v>65</v>
      </c>
      <c r="AV148" s="14">
        <v>65</v>
      </c>
      <c r="AW148" s="14">
        <v>100</v>
      </c>
      <c r="AX148" s="14">
        <v>100</v>
      </c>
    </row>
    <row r="149" spans="1:50" ht="20.100000000000001" customHeight="1">
      <c r="A149" s="1">
        <v>148</v>
      </c>
      <c r="B149" s="2" t="s">
        <v>146</v>
      </c>
      <c r="C149" s="10">
        <v>3882.8146999999999</v>
      </c>
      <c r="D149" s="10">
        <v>4024.3991999999998</v>
      </c>
      <c r="E149" s="10">
        <v>783.20029999999997</v>
      </c>
      <c r="F149" s="10">
        <v>787.04330000000004</v>
      </c>
      <c r="G149" s="10">
        <v>957.71119999999996</v>
      </c>
      <c r="H149" s="10"/>
      <c r="I149" s="10">
        <v>262.19886496999999</v>
      </c>
      <c r="J149" s="10">
        <v>271.75644884899998</v>
      </c>
      <c r="K149" s="10">
        <v>52.886514290000001</v>
      </c>
      <c r="L149" s="10">
        <v>53.146019875</v>
      </c>
      <c r="M149" s="10">
        <v>64.670405838999997</v>
      </c>
      <c r="N149" s="10"/>
      <c r="O149" s="7">
        <v>2.7699999999999999E-2</v>
      </c>
      <c r="P149" s="7">
        <v>3.6499999999999998E-2</v>
      </c>
      <c r="Q149" s="7">
        <v>-0.8054</v>
      </c>
      <c r="R149" s="7">
        <v>4.8999999999999998E-3</v>
      </c>
      <c r="S149" s="7">
        <v>0.21679999999999999</v>
      </c>
      <c r="T149" s="7"/>
      <c r="U149" s="7">
        <v>2.7699999999999999E-2</v>
      </c>
      <c r="V149" s="7">
        <v>3.6499999999999998E-2</v>
      </c>
      <c r="W149" s="7">
        <v>-0.8054</v>
      </c>
      <c r="X149" s="7">
        <v>4.8999999999999998E-3</v>
      </c>
      <c r="Y149" s="7">
        <v>0.21679999999999999</v>
      </c>
      <c r="Z149" s="7"/>
      <c r="AA149" s="10">
        <v>2117.6791776</v>
      </c>
      <c r="AB149" s="10">
        <v>3250.3097802000002</v>
      </c>
      <c r="AC149" s="10">
        <v>1987.55092515</v>
      </c>
      <c r="AD149" s="10">
        <v>1505.8334795000001</v>
      </c>
      <c r="AE149" s="10">
        <v>2073.0532655000002</v>
      </c>
      <c r="AF149" s="10">
        <v>2552.4890369999998</v>
      </c>
      <c r="AG149" s="10">
        <v>3038.6774249999999</v>
      </c>
      <c r="AH149" s="10">
        <v>2255.3739110000001</v>
      </c>
      <c r="AI149" s="10">
        <v>2528.8548792500001</v>
      </c>
      <c r="AJ149" s="10">
        <v>2397.1788575</v>
      </c>
      <c r="AK149" s="10">
        <v>1728.728496</v>
      </c>
      <c r="AL149" s="10">
        <v>1908.7924559999999</v>
      </c>
      <c r="AM149" s="14">
        <v>45</v>
      </c>
      <c r="AN149" s="14">
        <v>50</v>
      </c>
      <c r="AO149" s="14">
        <v>50</v>
      </c>
      <c r="AP149" s="14">
        <v>50</v>
      </c>
      <c r="AQ149" s="14">
        <v>50</v>
      </c>
      <c r="AR149" s="14">
        <v>45</v>
      </c>
      <c r="AS149" s="14">
        <v>45</v>
      </c>
      <c r="AT149" s="14">
        <v>45</v>
      </c>
      <c r="AU149" s="14">
        <v>45</v>
      </c>
      <c r="AV149" s="14">
        <v>45</v>
      </c>
      <c r="AW149" s="14">
        <v>40</v>
      </c>
      <c r="AX149" s="14">
        <v>50</v>
      </c>
    </row>
    <row r="150" spans="1:50" ht="20.100000000000001" customHeight="1">
      <c r="A150" s="1">
        <v>149</v>
      </c>
      <c r="B150" s="2" t="s">
        <v>147</v>
      </c>
      <c r="C150" s="10">
        <v>0</v>
      </c>
      <c r="D150" s="10">
        <v>3823.2075</v>
      </c>
      <c r="E150" s="10">
        <v>3013.9776999999999</v>
      </c>
      <c r="F150" s="10">
        <v>3624.0153</v>
      </c>
      <c r="G150" s="10">
        <v>9925.3145999999997</v>
      </c>
      <c r="H150" s="10"/>
      <c r="I150" s="10">
        <v>138.26093066199999</v>
      </c>
      <c r="J150" s="10">
        <v>172.04487407400001</v>
      </c>
      <c r="K150" s="10">
        <v>135.628967335</v>
      </c>
      <c r="L150" s="10">
        <v>163.080651133</v>
      </c>
      <c r="M150" s="10">
        <v>446.639058084</v>
      </c>
      <c r="N150" s="10"/>
      <c r="O150" s="7">
        <v>0</v>
      </c>
      <c r="P150" s="7">
        <v>0</v>
      </c>
      <c r="Q150" s="7">
        <v>-0.2117</v>
      </c>
      <c r="R150" s="7">
        <v>0.2024</v>
      </c>
      <c r="S150" s="7">
        <v>1.7387999999999999</v>
      </c>
      <c r="T150" s="7"/>
      <c r="U150" s="7">
        <v>0.1588</v>
      </c>
      <c r="V150" s="7">
        <v>0.24429999999999999</v>
      </c>
      <c r="W150" s="7">
        <v>-0.2117</v>
      </c>
      <c r="X150" s="7">
        <v>0.2024</v>
      </c>
      <c r="Y150" s="7">
        <v>1.7387999999999999</v>
      </c>
      <c r="Z150" s="7"/>
      <c r="AA150" s="10"/>
      <c r="AB150" s="10">
        <v>1337.8963906250001</v>
      </c>
      <c r="AC150" s="10">
        <v>1317.4951550000001</v>
      </c>
      <c r="AD150" s="10">
        <v>991.996352</v>
      </c>
      <c r="AE150" s="10">
        <v>976.43440922800005</v>
      </c>
      <c r="AF150" s="10">
        <v>1130.7208418499999</v>
      </c>
      <c r="AG150" s="10">
        <v>1772.5734814800001</v>
      </c>
      <c r="AH150" s="10">
        <v>2245.1977434360001</v>
      </c>
      <c r="AI150" s="10">
        <v>5062.2193840279997</v>
      </c>
      <c r="AJ150" s="10">
        <v>6488.3690043469996</v>
      </c>
      <c r="AK150" s="10"/>
      <c r="AL150" s="10"/>
      <c r="AM150" s="14">
        <v>100</v>
      </c>
      <c r="AN150" s="14">
        <v>65</v>
      </c>
      <c r="AO150" s="14">
        <v>64.587500000000006</v>
      </c>
      <c r="AP150" s="14">
        <v>65</v>
      </c>
      <c r="AQ150" s="14">
        <v>65</v>
      </c>
      <c r="AR150" s="14">
        <v>65</v>
      </c>
      <c r="AS150" s="14">
        <v>65</v>
      </c>
      <c r="AT150" s="14">
        <v>65</v>
      </c>
      <c r="AU150" s="14">
        <v>65</v>
      </c>
      <c r="AV150" s="14">
        <v>65</v>
      </c>
      <c r="AW150" s="14">
        <v>100</v>
      </c>
      <c r="AX150" s="14">
        <v>100</v>
      </c>
    </row>
    <row r="151" spans="1:50" ht="20.100000000000001" customHeight="1">
      <c r="A151" s="1">
        <v>150</v>
      </c>
      <c r="B151" s="2" t="s">
        <v>148</v>
      </c>
      <c r="C151" s="10">
        <v>4584.5468000000001</v>
      </c>
      <c r="D151" s="10">
        <v>3061.7285999999999</v>
      </c>
      <c r="E151" s="10">
        <v>1539.6552999999999</v>
      </c>
      <c r="F151" s="10">
        <v>2675.5625</v>
      </c>
      <c r="G151" s="10">
        <v>2807.3009999999999</v>
      </c>
      <c r="H151" s="10"/>
      <c r="I151" s="10">
        <v>135.1134721</v>
      </c>
      <c r="J151" s="10">
        <v>90.233735225000004</v>
      </c>
      <c r="K151" s="10">
        <v>100.08969345</v>
      </c>
      <c r="L151" s="10">
        <v>173.932593416</v>
      </c>
      <c r="M151" s="10">
        <v>182.49663223100001</v>
      </c>
      <c r="N151" s="10"/>
      <c r="O151" s="7">
        <v>0.55740000000000001</v>
      </c>
      <c r="P151" s="7">
        <v>-0.3322</v>
      </c>
      <c r="Q151" s="7">
        <v>-0.49709999999999999</v>
      </c>
      <c r="R151" s="7">
        <v>0.73780000000000001</v>
      </c>
      <c r="S151" s="7">
        <v>4.9200000000000001E-2</v>
      </c>
      <c r="T151" s="7"/>
      <c r="U151" s="7">
        <v>0.55740000000000001</v>
      </c>
      <c r="V151" s="7">
        <v>-0.3322</v>
      </c>
      <c r="W151" s="7">
        <v>0.10920000000000001</v>
      </c>
      <c r="X151" s="7">
        <v>0.73780000000000001</v>
      </c>
      <c r="Y151" s="7">
        <v>4.9200000000000001E-2</v>
      </c>
      <c r="Z151" s="7"/>
      <c r="AA151" s="10">
        <v>1170.141435</v>
      </c>
      <c r="AB151" s="10">
        <v>1248.150864</v>
      </c>
      <c r="AC151" s="10">
        <v>1550.43738945</v>
      </c>
      <c r="AD151" s="10">
        <v>1134.3871046500001</v>
      </c>
      <c r="AE151" s="10">
        <v>1397.6689254999999</v>
      </c>
      <c r="AF151" s="10">
        <v>1553.6877823</v>
      </c>
      <c r="AG151" s="10">
        <v>1654.4499606500001</v>
      </c>
      <c r="AH151" s="10">
        <v>1384.6673541</v>
      </c>
      <c r="AI151" s="10">
        <v>1244.90046155</v>
      </c>
      <c r="AJ151" s="10">
        <v>1202.6453544999999</v>
      </c>
      <c r="AK151" s="10">
        <v>496.66003130000001</v>
      </c>
      <c r="AL151" s="10">
        <v>1248.150864</v>
      </c>
      <c r="AM151" s="14">
        <v>45</v>
      </c>
      <c r="AN151" s="14">
        <v>45</v>
      </c>
      <c r="AO151" s="14">
        <v>45</v>
      </c>
      <c r="AP151" s="14">
        <v>35</v>
      </c>
      <c r="AQ151" s="14">
        <v>35</v>
      </c>
      <c r="AR151" s="14">
        <v>45</v>
      </c>
      <c r="AS151" s="14">
        <v>45</v>
      </c>
      <c r="AT151" s="14">
        <v>45</v>
      </c>
      <c r="AU151" s="14">
        <v>45</v>
      </c>
      <c r="AV151" s="14">
        <v>45</v>
      </c>
      <c r="AW151" s="14">
        <v>40</v>
      </c>
      <c r="AX151" s="14">
        <v>45</v>
      </c>
    </row>
    <row r="152" spans="1:50" ht="20.100000000000001" customHeight="1">
      <c r="A152" s="1">
        <v>151</v>
      </c>
      <c r="B152" s="2" t="s">
        <v>149</v>
      </c>
      <c r="C152" s="10">
        <v>1372.6623</v>
      </c>
      <c r="D152" s="10">
        <v>1468.9494</v>
      </c>
      <c r="E152" s="10">
        <v>2332.4758000000002</v>
      </c>
      <c r="F152" s="10">
        <v>1732.442</v>
      </c>
      <c r="G152" s="10">
        <v>1983.5383999999999</v>
      </c>
      <c r="H152" s="10">
        <v>1948.3207</v>
      </c>
      <c r="I152" s="10">
        <v>153.603282678</v>
      </c>
      <c r="J152" s="10">
        <v>232.28634775699999</v>
      </c>
      <c r="K152" s="10">
        <v>292.99652123300001</v>
      </c>
      <c r="L152" s="10">
        <v>217.62905379</v>
      </c>
      <c r="M152" s="10">
        <v>314.82420816400003</v>
      </c>
      <c r="N152" s="10">
        <v>256.92439406509999</v>
      </c>
      <c r="O152" s="7">
        <v>-0.3826</v>
      </c>
      <c r="P152" s="7">
        <v>7.0099999999999996E-2</v>
      </c>
      <c r="Q152" s="7">
        <v>0.58789999999999998</v>
      </c>
      <c r="R152" s="7">
        <v>-0.25729999999999997</v>
      </c>
      <c r="S152" s="7">
        <v>0.1449</v>
      </c>
      <c r="T152" s="7">
        <v>-1.78E-2</v>
      </c>
      <c r="U152" s="7">
        <v>-0.33250000000000002</v>
      </c>
      <c r="V152" s="7">
        <v>0.51219999999999999</v>
      </c>
      <c r="W152" s="7">
        <v>0.26140000000000002</v>
      </c>
      <c r="X152" s="7">
        <v>-0.25719999999999998</v>
      </c>
      <c r="Y152" s="7">
        <v>0.4466</v>
      </c>
      <c r="Z152" s="7">
        <v>-0.18390000000000001</v>
      </c>
      <c r="AA152" s="10">
        <v>1821.3961779000001</v>
      </c>
      <c r="AB152" s="10">
        <v>3040.5199511999999</v>
      </c>
      <c r="AC152" s="10">
        <v>3083.4542508</v>
      </c>
      <c r="AD152" s="10">
        <v>1398.0661814</v>
      </c>
      <c r="AE152" s="10">
        <v>2157.0164009999999</v>
      </c>
      <c r="AF152" s="10">
        <v>2270.4600399999999</v>
      </c>
      <c r="AG152" s="10">
        <v>2951.5980519999998</v>
      </c>
      <c r="AH152" s="10">
        <v>3089.5503911999999</v>
      </c>
      <c r="AI152" s="10">
        <v>2537.8449642</v>
      </c>
      <c r="AJ152" s="10">
        <v>2536.0059402000002</v>
      </c>
      <c r="AK152" s="10">
        <v>795.58000719999995</v>
      </c>
      <c r="AL152" s="10">
        <v>1154.3376780000001</v>
      </c>
      <c r="AM152" s="14">
        <v>100</v>
      </c>
      <c r="AN152" s="14">
        <v>70</v>
      </c>
      <c r="AO152" s="14">
        <v>70</v>
      </c>
      <c r="AP152" s="14">
        <v>65</v>
      </c>
      <c r="AQ152" s="14">
        <v>60</v>
      </c>
      <c r="AR152" s="14">
        <v>60</v>
      </c>
      <c r="AS152" s="14">
        <v>65</v>
      </c>
      <c r="AT152" s="14">
        <v>65</v>
      </c>
      <c r="AU152" s="14">
        <v>65</v>
      </c>
      <c r="AV152" s="14">
        <v>65</v>
      </c>
      <c r="AW152" s="14">
        <v>100</v>
      </c>
      <c r="AX152" s="14">
        <v>100</v>
      </c>
    </row>
    <row r="153" spans="1:50" ht="20.100000000000001" customHeight="1">
      <c r="A153" s="1">
        <v>152</v>
      </c>
      <c r="B153" s="2" t="s">
        <v>150</v>
      </c>
      <c r="C153" s="10">
        <v>1313.5229999999999</v>
      </c>
      <c r="D153" s="10">
        <v>2022.6095</v>
      </c>
      <c r="E153" s="10">
        <v>1441.8771999999999</v>
      </c>
      <c r="F153" s="10">
        <v>438.15050000000002</v>
      </c>
      <c r="G153" s="10">
        <v>565.73440000000005</v>
      </c>
      <c r="H153" s="10"/>
      <c r="I153" s="10">
        <v>1117.6569999999999</v>
      </c>
      <c r="J153" s="10">
        <v>1559.9780000000001</v>
      </c>
      <c r="K153" s="10">
        <v>1356.73</v>
      </c>
      <c r="L153" s="10">
        <v>453.50200000000001</v>
      </c>
      <c r="M153" s="10">
        <v>585.55600000000004</v>
      </c>
      <c r="N153" s="10"/>
      <c r="O153" s="7">
        <v>0</v>
      </c>
      <c r="P153" s="7">
        <v>0.53979999999999995</v>
      </c>
      <c r="Q153" s="7">
        <v>-0.28710000000000002</v>
      </c>
      <c r="R153" s="7">
        <v>-0.69610000000000005</v>
      </c>
      <c r="S153" s="7">
        <v>0.29120000000000001</v>
      </c>
      <c r="T153" s="7"/>
      <c r="U153" s="7">
        <v>0.1169</v>
      </c>
      <c r="V153" s="7">
        <v>0.39579999999999999</v>
      </c>
      <c r="W153" s="7">
        <v>-0.1303</v>
      </c>
      <c r="X153" s="7">
        <v>-0.66569999999999996</v>
      </c>
      <c r="Y153" s="7">
        <v>0.29120000000000001</v>
      </c>
      <c r="Z153" s="7"/>
      <c r="AA153" s="10">
        <v>13272.134088004999</v>
      </c>
      <c r="AB153" s="10">
        <v>15171.74434338</v>
      </c>
      <c r="AC153" s="10">
        <v>9883.7081493280002</v>
      </c>
      <c r="AD153" s="10">
        <v>7504.9939260319998</v>
      </c>
      <c r="AE153" s="10">
        <v>9043.1161895940004</v>
      </c>
      <c r="AF153" s="10">
        <v>8190.2458977059996</v>
      </c>
      <c r="AG153" s="10">
        <v>8297.8897209539991</v>
      </c>
      <c r="AH153" s="10">
        <v>7555.7683625999998</v>
      </c>
      <c r="AI153" s="10">
        <v>8649.8022200340001</v>
      </c>
      <c r="AJ153" s="10">
        <v>14974.911872616</v>
      </c>
      <c r="AK153" s="10"/>
      <c r="AL153" s="10">
        <v>7682.4237906850003</v>
      </c>
      <c r="AM153" s="14">
        <v>100</v>
      </c>
      <c r="AN153" s="14">
        <v>35</v>
      </c>
      <c r="AO153" s="14">
        <v>35</v>
      </c>
      <c r="AP153" s="14">
        <v>45</v>
      </c>
      <c r="AQ153" s="14">
        <v>55</v>
      </c>
      <c r="AR153" s="14">
        <v>60</v>
      </c>
      <c r="AS153" s="14">
        <v>65</v>
      </c>
      <c r="AT153" s="14">
        <v>65</v>
      </c>
      <c r="AU153" s="14">
        <v>65</v>
      </c>
      <c r="AV153" s="14">
        <v>65</v>
      </c>
      <c r="AW153" s="14">
        <v>100</v>
      </c>
      <c r="AX153" s="14">
        <v>100</v>
      </c>
    </row>
    <row r="154" spans="1:50" ht="20.100000000000001" customHeight="1">
      <c r="A154" s="1">
        <v>153</v>
      </c>
      <c r="B154" s="2" t="s">
        <v>151</v>
      </c>
      <c r="C154" s="10">
        <v>2774.7548000000002</v>
      </c>
      <c r="D154" s="10">
        <v>3201.2136999999998</v>
      </c>
      <c r="E154" s="10">
        <v>4221.3091999999997</v>
      </c>
      <c r="F154" s="10">
        <v>3689.3924999999999</v>
      </c>
      <c r="G154" s="10">
        <v>4860.1066000000001</v>
      </c>
      <c r="H154" s="10">
        <v>4854.1673000000001</v>
      </c>
      <c r="I154" s="10">
        <v>239.845036749</v>
      </c>
      <c r="J154" s="10">
        <v>276.70741325699998</v>
      </c>
      <c r="K154" s="10">
        <v>401.37089117199997</v>
      </c>
      <c r="L154" s="10">
        <v>358.940537151</v>
      </c>
      <c r="M154" s="10">
        <v>461.66774364700001</v>
      </c>
      <c r="N154" s="10">
        <v>473.30288343159998</v>
      </c>
      <c r="O154" s="7">
        <v>-0.31290000000000001</v>
      </c>
      <c r="P154" s="7">
        <v>0.1537</v>
      </c>
      <c r="Q154" s="7">
        <v>0.31869999999999998</v>
      </c>
      <c r="R154" s="7">
        <v>-0.126</v>
      </c>
      <c r="S154" s="7">
        <v>0.31730000000000003</v>
      </c>
      <c r="T154" s="7">
        <v>-1.1999999999999999E-3</v>
      </c>
      <c r="U154" s="7">
        <v>-0.31290000000000001</v>
      </c>
      <c r="V154" s="7">
        <v>0.1537</v>
      </c>
      <c r="W154" s="7">
        <v>0.45050000000000001</v>
      </c>
      <c r="X154" s="7">
        <v>-0.1057</v>
      </c>
      <c r="Y154" s="7">
        <v>0.28620000000000001</v>
      </c>
      <c r="Z154" s="7">
        <v>2.52E-2</v>
      </c>
      <c r="AA154" s="10">
        <v>3018.4247764000002</v>
      </c>
      <c r="AB154" s="10">
        <v>3547.4270568000002</v>
      </c>
      <c r="AC154" s="10">
        <v>3858.6048688000001</v>
      </c>
      <c r="AD154" s="10">
        <v>3967.5171030000001</v>
      </c>
      <c r="AE154" s="10">
        <v>4566.5343911</v>
      </c>
      <c r="AF154" s="10">
        <v>4008.3171029999999</v>
      </c>
      <c r="AG154" s="10">
        <v>4086.911556</v>
      </c>
      <c r="AH154" s="10">
        <v>5697.2905924999995</v>
      </c>
      <c r="AI154" s="10">
        <v>4547.4580450000003</v>
      </c>
      <c r="AJ154" s="10">
        <v>4650.9394750000001</v>
      </c>
      <c r="AK154" s="10">
        <v>2738.9708627</v>
      </c>
      <c r="AL154" s="10">
        <v>3033.983667</v>
      </c>
      <c r="AM154" s="14">
        <v>40</v>
      </c>
      <c r="AN154" s="14">
        <v>45</v>
      </c>
      <c r="AO154" s="14">
        <v>45</v>
      </c>
      <c r="AP154" s="14">
        <v>45</v>
      </c>
      <c r="AQ154" s="14">
        <v>45</v>
      </c>
      <c r="AR154" s="14">
        <v>45</v>
      </c>
      <c r="AS154" s="14">
        <v>45</v>
      </c>
      <c r="AT154" s="14">
        <v>45</v>
      </c>
      <c r="AU154" s="14">
        <v>40</v>
      </c>
      <c r="AV154" s="14">
        <v>40</v>
      </c>
      <c r="AW154" s="14">
        <v>30</v>
      </c>
      <c r="AX154" s="14">
        <v>40</v>
      </c>
    </row>
    <row r="155" spans="1:50" ht="20.100000000000001" customHeight="1">
      <c r="A155" s="1">
        <v>154</v>
      </c>
      <c r="B155" s="2" t="s">
        <v>152</v>
      </c>
      <c r="C155" s="10">
        <v>1669.3524</v>
      </c>
      <c r="D155" s="10">
        <v>728.4982</v>
      </c>
      <c r="E155" s="10">
        <v>946.37689999999998</v>
      </c>
      <c r="F155" s="10">
        <v>510.62889999999999</v>
      </c>
      <c r="G155" s="10">
        <v>587.94740000000002</v>
      </c>
      <c r="H155" s="10">
        <v>737.41300000000001</v>
      </c>
      <c r="I155" s="10">
        <v>311.17670787100002</v>
      </c>
      <c r="J155" s="10">
        <v>181.75917615399999</v>
      </c>
      <c r="K155" s="10">
        <v>192.03472238500001</v>
      </c>
      <c r="L155" s="10">
        <v>103.614621249</v>
      </c>
      <c r="M155" s="10">
        <v>121.474166252</v>
      </c>
      <c r="N155" s="10">
        <v>152.35468573950001</v>
      </c>
      <c r="O155" s="7">
        <v>0.4768</v>
      </c>
      <c r="P155" s="7">
        <v>-0.56359999999999999</v>
      </c>
      <c r="Q155" s="7">
        <v>0.29909999999999998</v>
      </c>
      <c r="R155" s="7">
        <v>-0.46039999999999998</v>
      </c>
      <c r="S155" s="7">
        <v>0.15140000000000001</v>
      </c>
      <c r="T155" s="7">
        <v>0.25419999999999998</v>
      </c>
      <c r="U155" s="7">
        <v>0.62809999999999999</v>
      </c>
      <c r="V155" s="7">
        <v>-0.41589999999999999</v>
      </c>
      <c r="W155" s="7">
        <v>5.6500000000000002E-2</v>
      </c>
      <c r="X155" s="7">
        <v>-0.46039999999999998</v>
      </c>
      <c r="Y155" s="7">
        <v>0.1724</v>
      </c>
      <c r="Z155" s="7">
        <v>0.25419999999999998</v>
      </c>
      <c r="AA155" s="10">
        <v>1509.7510531999999</v>
      </c>
      <c r="AB155" s="10">
        <v>3741.1773462000001</v>
      </c>
      <c r="AC155" s="10">
        <v>1689.5639627999999</v>
      </c>
      <c r="AD155" s="10">
        <v>1414.72060672</v>
      </c>
      <c r="AE155" s="10">
        <v>2522.2230656000002</v>
      </c>
      <c r="AF155" s="10">
        <v>2275.6899840000001</v>
      </c>
      <c r="AG155" s="10">
        <v>2123.9991519999999</v>
      </c>
      <c r="AH155" s="10">
        <v>1998.4901112</v>
      </c>
      <c r="AI155" s="10">
        <v>1820.84654576</v>
      </c>
      <c r="AJ155" s="10">
        <v>2128.0019287</v>
      </c>
      <c r="AK155" s="10">
        <v>710.01939779999998</v>
      </c>
      <c r="AL155" s="10">
        <v>1722.9601714</v>
      </c>
      <c r="AM155" s="14">
        <v>90</v>
      </c>
      <c r="AN155" s="14">
        <v>90</v>
      </c>
      <c r="AO155" s="14">
        <v>90</v>
      </c>
      <c r="AP155" s="14">
        <v>90</v>
      </c>
      <c r="AQ155" s="14">
        <v>95</v>
      </c>
      <c r="AR155" s="14">
        <v>95</v>
      </c>
      <c r="AS155" s="14">
        <v>95</v>
      </c>
      <c r="AT155" s="14">
        <v>95</v>
      </c>
      <c r="AU155" s="14">
        <v>95</v>
      </c>
      <c r="AV155" s="14">
        <v>95</v>
      </c>
      <c r="AW155" s="14">
        <v>85</v>
      </c>
      <c r="AX155" s="14">
        <v>85</v>
      </c>
    </row>
    <row r="156" spans="1:50" ht="20.100000000000001" customHeight="1">
      <c r="A156" s="1">
        <v>155</v>
      </c>
      <c r="B156" s="2" t="s">
        <v>153</v>
      </c>
      <c r="C156" s="10">
        <v>274.5446</v>
      </c>
      <c r="D156" s="10">
        <v>353.62790000000001</v>
      </c>
      <c r="E156" s="10">
        <v>-9363.3786999999993</v>
      </c>
      <c r="F156" s="10">
        <v>-4051.8562000000002</v>
      </c>
      <c r="G156" s="10">
        <v>2764.2574</v>
      </c>
      <c r="H156" s="10"/>
      <c r="I156" s="10">
        <v>86.319060445999995</v>
      </c>
      <c r="J156" s="10">
        <v>102.96449078000001</v>
      </c>
      <c r="K156" s="10">
        <v>-2566.8110948869999</v>
      </c>
      <c r="L156" s="10">
        <v>-1110.747492552</v>
      </c>
      <c r="M156" s="10">
        <v>959.78610062300004</v>
      </c>
      <c r="N156" s="10"/>
      <c r="O156" s="7">
        <v>-0.81069999999999998</v>
      </c>
      <c r="P156" s="7">
        <v>0.28810000000000002</v>
      </c>
      <c r="Q156" s="7"/>
      <c r="R156" s="7">
        <v>0.56730000000000003</v>
      </c>
      <c r="S156" s="7"/>
      <c r="T156" s="7"/>
      <c r="U156" s="7">
        <v>-0.79290000000000005</v>
      </c>
      <c r="V156" s="7">
        <v>0.1928</v>
      </c>
      <c r="W156" s="7"/>
      <c r="X156" s="7">
        <v>0.56730000000000003</v>
      </c>
      <c r="Y156" s="7"/>
      <c r="Z156" s="7"/>
      <c r="AA156" s="10">
        <v>3567.0248990999999</v>
      </c>
      <c r="AB156" s="10">
        <v>7333.0774659999997</v>
      </c>
      <c r="AC156" s="10">
        <v>4090.1449941000001</v>
      </c>
      <c r="AD156" s="10">
        <v>2524.7674167</v>
      </c>
      <c r="AE156" s="10">
        <v>2683.7647133</v>
      </c>
      <c r="AF156" s="10">
        <v>2157.4288348999999</v>
      </c>
      <c r="AG156" s="10">
        <v>2105.3435135999998</v>
      </c>
      <c r="AH156" s="10">
        <v>2169.73572423</v>
      </c>
      <c r="AI156" s="10">
        <v>2221.8177147299998</v>
      </c>
      <c r="AJ156" s="10">
        <v>2194.7350796699998</v>
      </c>
      <c r="AK156" s="10">
        <v>2239.4913606</v>
      </c>
      <c r="AL156" s="10">
        <v>3705.5501379000002</v>
      </c>
      <c r="AM156" s="14">
        <v>70</v>
      </c>
      <c r="AN156" s="14">
        <v>70</v>
      </c>
      <c r="AO156" s="14">
        <v>70</v>
      </c>
      <c r="AP156" s="14">
        <v>70</v>
      </c>
      <c r="AQ156" s="14">
        <v>65</v>
      </c>
      <c r="AR156" s="14">
        <v>65</v>
      </c>
      <c r="AS156" s="14">
        <v>65</v>
      </c>
      <c r="AT156" s="14">
        <v>60</v>
      </c>
      <c r="AU156" s="14">
        <v>60</v>
      </c>
      <c r="AV156" s="14">
        <v>80</v>
      </c>
      <c r="AW156" s="14">
        <v>70</v>
      </c>
      <c r="AX156" s="14">
        <v>70</v>
      </c>
    </row>
    <row r="157" spans="1:50" ht="20.100000000000001" customHeight="1">
      <c r="A157" s="1">
        <v>156</v>
      </c>
      <c r="B157" s="2" t="s">
        <v>154</v>
      </c>
      <c r="C157" s="10">
        <v>4186.6054000000004</v>
      </c>
      <c r="D157" s="10">
        <v>11954.917299999999</v>
      </c>
      <c r="E157" s="10">
        <v>-7865.9426999999996</v>
      </c>
      <c r="F157" s="10">
        <v>-12027.240299999999</v>
      </c>
      <c r="G157" s="10">
        <v>397.24200000000002</v>
      </c>
      <c r="H157" s="10"/>
      <c r="I157" s="10">
        <v>306.07434412399999</v>
      </c>
      <c r="J157" s="10">
        <v>874.00009570199995</v>
      </c>
      <c r="K157" s="10">
        <v>-578.98844766599996</v>
      </c>
      <c r="L157" s="10">
        <v>-885.28908003399999</v>
      </c>
      <c r="M157" s="10">
        <v>29.239789146</v>
      </c>
      <c r="N157" s="10"/>
      <c r="O157" s="7">
        <v>2.3346</v>
      </c>
      <c r="P157" s="7">
        <v>1.8554999999999999</v>
      </c>
      <c r="Q157" s="7"/>
      <c r="R157" s="7">
        <v>-0.52900000000000003</v>
      </c>
      <c r="S157" s="7"/>
      <c r="T157" s="7"/>
      <c r="U157" s="7">
        <v>2.3332999999999999</v>
      </c>
      <c r="V157" s="7">
        <v>1.8554999999999999</v>
      </c>
      <c r="W157" s="7"/>
      <c r="X157" s="7">
        <v>-0.52900000000000003</v>
      </c>
      <c r="Y157" s="7"/>
      <c r="Z157" s="7"/>
      <c r="AA157" s="10">
        <v>2439.9637870500001</v>
      </c>
      <c r="AB157" s="10">
        <v>2558.7635220000002</v>
      </c>
      <c r="AC157" s="10">
        <v>1323.2462748999999</v>
      </c>
      <c r="AD157" s="10">
        <v>711.77811379000002</v>
      </c>
      <c r="AE157" s="10">
        <v>960.56922284999996</v>
      </c>
      <c r="AF157" s="10">
        <v>754.47007925000003</v>
      </c>
      <c r="AG157" s="10">
        <v>1335.9640915499999</v>
      </c>
      <c r="AH157" s="10">
        <v>615.35315732000004</v>
      </c>
      <c r="AI157" s="10">
        <v>780.23247219999996</v>
      </c>
      <c r="AJ157" s="10">
        <v>1001.0529832</v>
      </c>
      <c r="AK157" s="10">
        <v>657.96776279999995</v>
      </c>
      <c r="AL157" s="10">
        <v>1187.9973494999999</v>
      </c>
      <c r="AM157" s="14">
        <v>40</v>
      </c>
      <c r="AN157" s="14">
        <v>40</v>
      </c>
      <c r="AO157" s="14">
        <v>45</v>
      </c>
      <c r="AP157" s="14">
        <v>45</v>
      </c>
      <c r="AQ157" s="14">
        <v>45</v>
      </c>
      <c r="AR157" s="14">
        <v>45</v>
      </c>
      <c r="AS157" s="14">
        <v>45</v>
      </c>
      <c r="AT157" s="14">
        <v>45</v>
      </c>
      <c r="AU157" s="14">
        <v>45</v>
      </c>
      <c r="AV157" s="14">
        <v>45</v>
      </c>
      <c r="AW157" s="14">
        <v>40</v>
      </c>
      <c r="AX157" s="14">
        <v>40</v>
      </c>
    </row>
    <row r="158" spans="1:50" ht="20.100000000000001" customHeight="1">
      <c r="A158" s="1">
        <v>157</v>
      </c>
      <c r="B158" s="2" t="s">
        <v>155</v>
      </c>
      <c r="C158" s="10">
        <v>1960.9102</v>
      </c>
      <c r="D158" s="10">
        <v>2379.2217999999998</v>
      </c>
      <c r="E158" s="10">
        <v>2906.0726</v>
      </c>
      <c r="F158" s="10">
        <v>3509.8688999999999</v>
      </c>
      <c r="G158" s="10">
        <v>4235.2987000000003</v>
      </c>
      <c r="H158" s="10">
        <v>4894.6080000000002</v>
      </c>
      <c r="I158" s="10">
        <v>3538.0077388220002</v>
      </c>
      <c r="J158" s="10">
        <v>4337.4118798019999</v>
      </c>
      <c r="K158" s="10">
        <v>5310.1085914080004</v>
      </c>
      <c r="L158" s="10">
        <v>6465.1904326220001</v>
      </c>
      <c r="M158" s="10">
        <v>7856.767812178</v>
      </c>
      <c r="N158" s="10">
        <v>9143.9170129047998</v>
      </c>
      <c r="O158" s="7">
        <v>0.12280000000000001</v>
      </c>
      <c r="P158" s="7">
        <v>0.21329999999999999</v>
      </c>
      <c r="Q158" s="7">
        <v>0.22140000000000001</v>
      </c>
      <c r="R158" s="7">
        <v>0.20780000000000001</v>
      </c>
      <c r="S158" s="7">
        <v>0.20669999999999999</v>
      </c>
      <c r="T158" s="7">
        <v>0.15570000000000001</v>
      </c>
      <c r="U158" s="7">
        <v>0.12839999999999999</v>
      </c>
      <c r="V158" s="7">
        <v>0.22589999999999999</v>
      </c>
      <c r="W158" s="7">
        <v>0.2243</v>
      </c>
      <c r="X158" s="7">
        <v>0.2175</v>
      </c>
      <c r="Y158" s="7">
        <v>0.2152</v>
      </c>
      <c r="Z158" s="7">
        <v>0.1638</v>
      </c>
      <c r="AA158" s="10">
        <v>79857.296023999996</v>
      </c>
      <c r="AB158" s="10">
        <v>84394.642389000001</v>
      </c>
      <c r="AC158" s="10">
        <v>94563.690506400002</v>
      </c>
      <c r="AD158" s="10">
        <v>84361.343386799999</v>
      </c>
      <c r="AE158" s="10">
        <v>94972.519492000007</v>
      </c>
      <c r="AF158" s="10">
        <v>122044.00888749999</v>
      </c>
      <c r="AG158" s="10">
        <v>190588.47261299999</v>
      </c>
      <c r="AH158" s="10">
        <v>224338.05040750001</v>
      </c>
      <c r="AI158" s="10">
        <v>175093.2204204</v>
      </c>
      <c r="AJ158" s="10">
        <v>166943.697858</v>
      </c>
      <c r="AK158" s="10">
        <v>35785.268271499997</v>
      </c>
      <c r="AL158" s="10">
        <v>46328.792001000002</v>
      </c>
      <c r="AM158" s="14">
        <v>80</v>
      </c>
      <c r="AN158" s="14">
        <v>85</v>
      </c>
      <c r="AO158" s="14">
        <v>85</v>
      </c>
      <c r="AP158" s="14">
        <v>85</v>
      </c>
      <c r="AQ158" s="14">
        <v>85</v>
      </c>
      <c r="AR158" s="14">
        <v>85</v>
      </c>
      <c r="AS158" s="14">
        <v>85</v>
      </c>
      <c r="AT158" s="14">
        <v>85</v>
      </c>
      <c r="AU158" s="14">
        <v>85</v>
      </c>
      <c r="AV158" s="14">
        <v>85</v>
      </c>
      <c r="AW158" s="14">
        <v>80</v>
      </c>
      <c r="AX158" s="14">
        <v>80</v>
      </c>
    </row>
    <row r="159" spans="1:50" ht="20.100000000000001" customHeight="1">
      <c r="A159" s="1">
        <v>158</v>
      </c>
      <c r="B159" s="2" t="s">
        <v>156</v>
      </c>
      <c r="C159" s="10">
        <v>2614.5279999999998</v>
      </c>
      <c r="D159" s="10">
        <v>2734.7959000000001</v>
      </c>
      <c r="E159" s="10">
        <v>2803.6792</v>
      </c>
      <c r="F159" s="10">
        <v>3270.6768000000002</v>
      </c>
      <c r="G159" s="10">
        <v>4301.1103999999996</v>
      </c>
      <c r="H159" s="10"/>
      <c r="I159" s="10">
        <v>447.18902232200003</v>
      </c>
      <c r="J159" s="10">
        <v>467.75964891199999</v>
      </c>
      <c r="K159" s="10">
        <v>479.539723632</v>
      </c>
      <c r="L159" s="10">
        <v>559.41472051699998</v>
      </c>
      <c r="M159" s="10">
        <v>735.65951153699996</v>
      </c>
      <c r="N159" s="10"/>
      <c r="O159" s="7">
        <v>9.3299999999999994E-2</v>
      </c>
      <c r="P159" s="7">
        <v>4.5999999999999999E-2</v>
      </c>
      <c r="Q159" s="7">
        <v>2.52E-2</v>
      </c>
      <c r="R159" s="7">
        <v>0.1666</v>
      </c>
      <c r="S159" s="7">
        <v>0.31509999999999999</v>
      </c>
      <c r="T159" s="7"/>
      <c r="U159" s="7">
        <v>9.3299999999999994E-2</v>
      </c>
      <c r="V159" s="7">
        <v>4.5999999999999999E-2</v>
      </c>
      <c r="W159" s="7">
        <v>2.52E-2</v>
      </c>
      <c r="X159" s="7">
        <v>0.1666</v>
      </c>
      <c r="Y159" s="7">
        <v>0.31509999999999999</v>
      </c>
      <c r="Z159" s="7"/>
      <c r="AA159" s="10">
        <v>5984.0460964000004</v>
      </c>
      <c r="AB159" s="10">
        <v>7067.7709800000002</v>
      </c>
      <c r="AC159" s="10">
        <v>4370.2383892999997</v>
      </c>
      <c r="AD159" s="10">
        <v>4146.4106879999999</v>
      </c>
      <c r="AE159" s="10">
        <v>4859.0750250000001</v>
      </c>
      <c r="AF159" s="10">
        <v>5118.2256930000003</v>
      </c>
      <c r="AG159" s="10">
        <v>7411.7091048000002</v>
      </c>
      <c r="AH159" s="10">
        <v>9122.0661760000003</v>
      </c>
      <c r="AI159" s="10">
        <v>11203.037469999999</v>
      </c>
      <c r="AJ159" s="10">
        <v>10946.44608</v>
      </c>
      <c r="AK159" s="10">
        <v>3734.1529491000001</v>
      </c>
      <c r="AL159" s="10">
        <v>4240.6625880000001</v>
      </c>
      <c r="AM159" s="14">
        <v>100</v>
      </c>
      <c r="AN159" s="14">
        <v>30</v>
      </c>
      <c r="AO159" s="14">
        <v>30</v>
      </c>
      <c r="AP159" s="14">
        <v>30</v>
      </c>
      <c r="AQ159" s="14">
        <v>30</v>
      </c>
      <c r="AR159" s="14">
        <v>30</v>
      </c>
      <c r="AS159" s="14">
        <v>30</v>
      </c>
      <c r="AT159" s="14">
        <v>65</v>
      </c>
      <c r="AU159" s="14">
        <v>55</v>
      </c>
      <c r="AV159" s="14">
        <v>20</v>
      </c>
      <c r="AW159" s="14">
        <v>100</v>
      </c>
      <c r="AX159" s="14">
        <v>100</v>
      </c>
    </row>
    <row r="160" spans="1:50" ht="20.100000000000001" customHeight="1">
      <c r="A160" s="1">
        <v>159</v>
      </c>
      <c r="B160" s="2" t="s">
        <v>157</v>
      </c>
      <c r="C160" s="10">
        <v>2914.0169000000001</v>
      </c>
      <c r="D160" s="10">
        <v>3076.6902</v>
      </c>
      <c r="E160" s="10">
        <v>2961.3986</v>
      </c>
      <c r="F160" s="10">
        <v>1797.6745000000001</v>
      </c>
      <c r="G160" s="10">
        <v>941.46789999999999</v>
      </c>
      <c r="H160" s="10">
        <v>2133.9281999999998</v>
      </c>
      <c r="I160" s="10">
        <v>979.14170931900003</v>
      </c>
      <c r="J160" s="10">
        <v>1096.497637724</v>
      </c>
      <c r="K160" s="10">
        <v>1095.618039142</v>
      </c>
      <c r="L160" s="10">
        <v>665.07803109099996</v>
      </c>
      <c r="M160" s="10">
        <v>348.30987949000001</v>
      </c>
      <c r="N160" s="10">
        <v>789.47448400350004</v>
      </c>
      <c r="O160" s="7">
        <v>6.9699999999999998E-2</v>
      </c>
      <c r="P160" s="7">
        <v>5.5800000000000002E-2</v>
      </c>
      <c r="Q160" s="7">
        <v>-3.7499999999999999E-2</v>
      </c>
      <c r="R160" s="7">
        <v>-0.39300000000000002</v>
      </c>
      <c r="S160" s="7">
        <v>-0.4763</v>
      </c>
      <c r="T160" s="7">
        <v>1.2665999999999999</v>
      </c>
      <c r="U160" s="7">
        <v>5.0900000000000001E-2</v>
      </c>
      <c r="V160" s="7">
        <v>0.11990000000000001</v>
      </c>
      <c r="W160" s="7">
        <v>-8.0000000000000004E-4</v>
      </c>
      <c r="X160" s="7">
        <v>-0.39300000000000002</v>
      </c>
      <c r="Y160" s="7">
        <v>-0.4763</v>
      </c>
      <c r="Z160" s="7">
        <v>1.2665999999999999</v>
      </c>
      <c r="AA160" s="10">
        <v>6741.8182865999997</v>
      </c>
      <c r="AB160" s="10">
        <v>13057.7680975</v>
      </c>
      <c r="AC160" s="10">
        <v>11516.8930475</v>
      </c>
      <c r="AD160" s="10">
        <v>7680.6251972</v>
      </c>
      <c r="AE160" s="10">
        <v>9466.2482526000003</v>
      </c>
      <c r="AF160" s="10">
        <v>8438.8888115999998</v>
      </c>
      <c r="AG160" s="10">
        <v>9467.7605787499997</v>
      </c>
      <c r="AH160" s="10">
        <v>9585.4485765000009</v>
      </c>
      <c r="AI160" s="10">
        <v>9378.5629372500007</v>
      </c>
      <c r="AJ160" s="10">
        <v>11838.81712</v>
      </c>
      <c r="AK160" s="10">
        <v>2969.1660267500001</v>
      </c>
      <c r="AL160" s="10">
        <v>6032.1532037999996</v>
      </c>
      <c r="AM160" s="14">
        <v>55</v>
      </c>
      <c r="AN160" s="14">
        <v>45</v>
      </c>
      <c r="AO160" s="14">
        <v>45</v>
      </c>
      <c r="AP160" s="14">
        <v>45</v>
      </c>
      <c r="AQ160" s="14">
        <v>50</v>
      </c>
      <c r="AR160" s="14">
        <v>50</v>
      </c>
      <c r="AS160" s="14">
        <v>60</v>
      </c>
      <c r="AT160" s="14">
        <v>60</v>
      </c>
      <c r="AU160" s="14">
        <v>60</v>
      </c>
      <c r="AV160" s="14">
        <v>60</v>
      </c>
      <c r="AW160" s="14">
        <v>55</v>
      </c>
      <c r="AX160" s="14">
        <v>55</v>
      </c>
    </row>
    <row r="161" spans="1:50" ht="20.100000000000001" customHeight="1">
      <c r="A161" s="1">
        <v>160</v>
      </c>
      <c r="B161" s="2" t="s">
        <v>158</v>
      </c>
      <c r="C161" s="10">
        <v>1188.5389</v>
      </c>
      <c r="D161" s="10">
        <v>1161.7664</v>
      </c>
      <c r="E161" s="10">
        <v>412.62549999999999</v>
      </c>
      <c r="F161" s="10">
        <v>369.49799999999999</v>
      </c>
      <c r="G161" s="10">
        <v>1807.7301</v>
      </c>
      <c r="H161" s="10">
        <v>2308.9247</v>
      </c>
      <c r="I161" s="10">
        <v>801.70500943800005</v>
      </c>
      <c r="J161" s="10">
        <v>1038.70116239</v>
      </c>
      <c r="K161" s="10">
        <v>368.91632261400002</v>
      </c>
      <c r="L161" s="10">
        <v>330.35729475300002</v>
      </c>
      <c r="M161" s="10">
        <v>1631.2979439159999</v>
      </c>
      <c r="N161" s="10">
        <v>2083.5713148516002</v>
      </c>
      <c r="O161" s="7">
        <v>0.31580000000000003</v>
      </c>
      <c r="P161" s="7">
        <v>-2.2499999999999999E-2</v>
      </c>
      <c r="Q161" s="7">
        <v>-0.64480000000000004</v>
      </c>
      <c r="R161" s="7">
        <v>-0.1045</v>
      </c>
      <c r="S161" s="7">
        <v>3.8923999999999999</v>
      </c>
      <c r="T161" s="7">
        <v>0.27729999999999999</v>
      </c>
      <c r="U161" s="7">
        <v>0.26319999999999999</v>
      </c>
      <c r="V161" s="7">
        <v>0.29559999999999997</v>
      </c>
      <c r="W161" s="7">
        <v>-0.64480000000000004</v>
      </c>
      <c r="X161" s="7">
        <v>-0.1045</v>
      </c>
      <c r="Y161" s="7">
        <v>3.9380000000000002</v>
      </c>
      <c r="Z161" s="7">
        <v>0.2772</v>
      </c>
      <c r="AA161" s="10">
        <v>17186.1888</v>
      </c>
      <c r="AB161" s="10">
        <v>34613.303985450002</v>
      </c>
      <c r="AC161" s="10">
        <v>16646.74275315</v>
      </c>
      <c r="AD161" s="10">
        <v>10558.5478332</v>
      </c>
      <c r="AE161" s="10">
        <v>16476.443594550001</v>
      </c>
      <c r="AF161" s="10">
        <v>20095.3007148</v>
      </c>
      <c r="AG161" s="10">
        <v>18818.057025300001</v>
      </c>
      <c r="AH161" s="10">
        <v>16415.1090463</v>
      </c>
      <c r="AI161" s="10">
        <v>33749.720655199999</v>
      </c>
      <c r="AJ161" s="10">
        <v>39525.073922399999</v>
      </c>
      <c r="AK161" s="10">
        <v>7777.9877775000004</v>
      </c>
      <c r="AL161" s="10">
        <v>10574.303625</v>
      </c>
      <c r="AM161" s="14">
        <v>70</v>
      </c>
      <c r="AN161" s="14">
        <v>65</v>
      </c>
      <c r="AO161" s="14">
        <v>60</v>
      </c>
      <c r="AP161" s="14">
        <v>60</v>
      </c>
      <c r="AQ161" s="14">
        <v>65</v>
      </c>
      <c r="AR161" s="14">
        <v>70</v>
      </c>
      <c r="AS161" s="14">
        <v>75</v>
      </c>
      <c r="AT161" s="14">
        <v>75</v>
      </c>
      <c r="AU161" s="14">
        <v>70</v>
      </c>
      <c r="AV161" s="14">
        <v>70</v>
      </c>
      <c r="AW161" s="14">
        <v>80</v>
      </c>
      <c r="AX161" s="14">
        <v>75</v>
      </c>
    </row>
    <row r="162" spans="1:50" ht="20.100000000000001" customHeight="1">
      <c r="A162" s="1">
        <v>161</v>
      </c>
      <c r="B162" s="2" t="s">
        <v>159</v>
      </c>
      <c r="C162" s="10">
        <v>734.2056</v>
      </c>
      <c r="D162" s="10">
        <v>1073.5144</v>
      </c>
      <c r="E162" s="10">
        <v>966.11760000000004</v>
      </c>
      <c r="F162" s="10">
        <v>693.53300000000002</v>
      </c>
      <c r="G162" s="10">
        <v>1024.1727000000001</v>
      </c>
      <c r="H162" s="10">
        <v>977.8981</v>
      </c>
      <c r="I162" s="10">
        <v>586.65567502700003</v>
      </c>
      <c r="J162" s="10">
        <v>821.42970676799996</v>
      </c>
      <c r="K162" s="10">
        <v>739.33291989199995</v>
      </c>
      <c r="L162" s="10">
        <v>564.91808501599996</v>
      </c>
      <c r="M162" s="10">
        <v>834.240984088</v>
      </c>
      <c r="N162" s="10">
        <v>796.54204228239996</v>
      </c>
      <c r="O162" s="7">
        <v>0.8024</v>
      </c>
      <c r="P162" s="7">
        <v>0.46210000000000001</v>
      </c>
      <c r="Q162" s="7">
        <v>-0.1</v>
      </c>
      <c r="R162" s="7">
        <v>-0.28210000000000002</v>
      </c>
      <c r="S162" s="7">
        <v>0.47670000000000001</v>
      </c>
      <c r="T162" s="7">
        <v>-4.5199999999999997E-2</v>
      </c>
      <c r="U162" s="7">
        <v>0.82250000000000001</v>
      </c>
      <c r="V162" s="7">
        <v>0.4002</v>
      </c>
      <c r="W162" s="7">
        <v>-9.9900000000000003E-2</v>
      </c>
      <c r="X162" s="7">
        <v>-0.2359</v>
      </c>
      <c r="Y162" s="7">
        <v>0.47670000000000001</v>
      </c>
      <c r="Z162" s="7">
        <v>-4.5199999999999997E-2</v>
      </c>
      <c r="AA162" s="10">
        <v>13414.159079999999</v>
      </c>
      <c r="AB162" s="10">
        <v>16854.741705199998</v>
      </c>
      <c r="AC162" s="10">
        <v>12136.715552199999</v>
      </c>
      <c r="AD162" s="10">
        <v>9761.2341634999993</v>
      </c>
      <c r="AE162" s="10">
        <v>11218.59004395</v>
      </c>
      <c r="AF162" s="10">
        <v>9774.6131076000001</v>
      </c>
      <c r="AG162" s="10">
        <v>8737.9117174000003</v>
      </c>
      <c r="AH162" s="10">
        <v>9700.5630082999996</v>
      </c>
      <c r="AI162" s="10">
        <v>16087.264500499999</v>
      </c>
      <c r="AJ162" s="10">
        <v>21677.104131150001</v>
      </c>
      <c r="AK162" s="10">
        <v>8121.4976647499998</v>
      </c>
      <c r="AL162" s="10">
        <v>13382.220606000001</v>
      </c>
      <c r="AM162" s="14">
        <v>35</v>
      </c>
      <c r="AN162" s="14">
        <v>40</v>
      </c>
      <c r="AO162" s="14">
        <v>40</v>
      </c>
      <c r="AP162" s="14">
        <v>45</v>
      </c>
      <c r="AQ162" s="14">
        <v>40</v>
      </c>
      <c r="AR162" s="14">
        <v>45</v>
      </c>
      <c r="AS162" s="14">
        <v>50</v>
      </c>
      <c r="AT162" s="14">
        <v>60</v>
      </c>
      <c r="AU162" s="14">
        <v>55</v>
      </c>
      <c r="AV162" s="14">
        <v>55</v>
      </c>
      <c r="AW162" s="14">
        <v>45</v>
      </c>
      <c r="AX162" s="14">
        <v>40</v>
      </c>
    </row>
    <row r="163" spans="1:50" ht="20.100000000000001" customHeight="1">
      <c r="A163" s="1">
        <v>162</v>
      </c>
      <c r="B163" s="2" t="s">
        <v>160</v>
      </c>
      <c r="C163" s="10">
        <v>0</v>
      </c>
      <c r="D163" s="10">
        <v>0</v>
      </c>
      <c r="E163" s="10">
        <v>2445.7303000000002</v>
      </c>
      <c r="F163" s="10">
        <v>2070.4924999999998</v>
      </c>
      <c r="G163" s="10">
        <v>4411.7628999999997</v>
      </c>
      <c r="H163" s="10">
        <v>7498.8083999999999</v>
      </c>
      <c r="I163" s="10">
        <v>556.83863312200003</v>
      </c>
      <c r="J163" s="10">
        <v>565.867041019</v>
      </c>
      <c r="K163" s="10">
        <v>880.46291176299997</v>
      </c>
      <c r="L163" s="10">
        <v>745.37731458600001</v>
      </c>
      <c r="M163" s="10">
        <v>1588.2346348850001</v>
      </c>
      <c r="N163" s="10">
        <v>2744.5638655827001</v>
      </c>
      <c r="O163" s="7">
        <v>0</v>
      </c>
      <c r="P163" s="7">
        <v>0</v>
      </c>
      <c r="Q163" s="7">
        <v>0</v>
      </c>
      <c r="R163" s="7">
        <v>-0.15340000000000001</v>
      </c>
      <c r="S163" s="7">
        <v>1.1308</v>
      </c>
      <c r="T163" s="7">
        <v>0.69969999999999999</v>
      </c>
      <c r="U163" s="7">
        <v>-0.1618</v>
      </c>
      <c r="V163" s="7">
        <v>1.6199999999999999E-2</v>
      </c>
      <c r="W163" s="7">
        <v>0.55600000000000005</v>
      </c>
      <c r="X163" s="7">
        <v>-0.15340000000000001</v>
      </c>
      <c r="Y163" s="7">
        <v>1.1308</v>
      </c>
      <c r="Z163" s="7">
        <v>0.72809999999999997</v>
      </c>
      <c r="AA163" s="10"/>
      <c r="AB163" s="10"/>
      <c r="AC163" s="10">
        <v>9840</v>
      </c>
      <c r="AD163" s="10">
        <v>9300</v>
      </c>
      <c r="AE163" s="10">
        <v>8100</v>
      </c>
      <c r="AF163" s="10">
        <v>9143.4</v>
      </c>
      <c r="AG163" s="10">
        <v>10980</v>
      </c>
      <c r="AH163" s="10">
        <v>10290</v>
      </c>
      <c r="AI163" s="10">
        <v>35648.395714400001</v>
      </c>
      <c r="AJ163" s="10">
        <v>61853.992564</v>
      </c>
      <c r="AK163" s="10"/>
      <c r="AL163" s="10"/>
      <c r="AM163" s="14">
        <v>100</v>
      </c>
      <c r="AN163" s="14">
        <v>100</v>
      </c>
      <c r="AO163" s="14">
        <v>14.5015</v>
      </c>
      <c r="AP163" s="14">
        <v>15</v>
      </c>
      <c r="AQ163" s="14">
        <v>15</v>
      </c>
      <c r="AR163" s="14">
        <v>4.6666999999999996</v>
      </c>
      <c r="AS163" s="14">
        <v>15</v>
      </c>
      <c r="AT163" s="14">
        <v>4.66</v>
      </c>
      <c r="AU163" s="14">
        <v>14</v>
      </c>
      <c r="AV163" s="14">
        <v>15</v>
      </c>
      <c r="AW163" s="14">
        <v>100</v>
      </c>
      <c r="AX163" s="14">
        <v>100</v>
      </c>
    </row>
    <row r="164" spans="1:50" ht="20.100000000000001" customHeight="1">
      <c r="A164" s="1">
        <v>163</v>
      </c>
      <c r="B164" s="2" t="s">
        <v>161</v>
      </c>
      <c r="C164" s="10">
        <v>4299.6938</v>
      </c>
      <c r="D164" s="10">
        <v>5683.7622000000001</v>
      </c>
      <c r="E164" s="10">
        <v>6563.1864999999998</v>
      </c>
      <c r="F164" s="10">
        <v>4904.4853999999996</v>
      </c>
      <c r="G164" s="10">
        <v>7301.6115</v>
      </c>
      <c r="H164" s="10">
        <v>7457.9830000000002</v>
      </c>
      <c r="I164" s="10">
        <v>464.40865308600002</v>
      </c>
      <c r="J164" s="10">
        <v>563.58904108700006</v>
      </c>
      <c r="K164" s="10">
        <v>646.14656988199999</v>
      </c>
      <c r="L164" s="10">
        <v>498.30730710400002</v>
      </c>
      <c r="M164" s="10">
        <v>692.827863783</v>
      </c>
      <c r="N164" s="10">
        <v>743.09163064070003</v>
      </c>
      <c r="O164" s="7">
        <v>-8.3299999999999999E-2</v>
      </c>
      <c r="P164" s="7">
        <v>0.32190000000000002</v>
      </c>
      <c r="Q164" s="7">
        <v>0.1547</v>
      </c>
      <c r="R164" s="7">
        <v>-0.25269999999999998</v>
      </c>
      <c r="S164" s="7">
        <v>0.48880000000000001</v>
      </c>
      <c r="T164" s="7">
        <v>2.1399999999999999E-2</v>
      </c>
      <c r="U164" s="7">
        <v>-7.5200000000000003E-2</v>
      </c>
      <c r="V164" s="7">
        <v>0.21360000000000001</v>
      </c>
      <c r="W164" s="7">
        <v>0.14649999999999999</v>
      </c>
      <c r="X164" s="7">
        <v>-0.2288</v>
      </c>
      <c r="Y164" s="7">
        <v>0.39040000000000002</v>
      </c>
      <c r="Z164" s="7">
        <v>7.2499999999999995E-2</v>
      </c>
      <c r="AA164" s="10">
        <v>6977.5337499999996</v>
      </c>
      <c r="AB164" s="10">
        <v>8119.3119999999999</v>
      </c>
      <c r="AC164" s="10">
        <v>8053.3425900000002</v>
      </c>
      <c r="AD164" s="10">
        <v>7040.9386500000001</v>
      </c>
      <c r="AE164" s="10">
        <v>6446.0981306000003</v>
      </c>
      <c r="AF164" s="10">
        <v>6785.8631857999999</v>
      </c>
      <c r="AG164" s="10">
        <v>8160.280452</v>
      </c>
      <c r="AH164" s="10">
        <v>7590.95856</v>
      </c>
      <c r="AI164" s="10">
        <v>6376.4051903999998</v>
      </c>
      <c r="AJ164" s="10">
        <v>5351.6257847999996</v>
      </c>
      <c r="AK164" s="10">
        <v>5861.12835</v>
      </c>
      <c r="AL164" s="10">
        <v>6495.4495999999999</v>
      </c>
      <c r="AM164" s="14">
        <v>35</v>
      </c>
      <c r="AN164" s="14">
        <v>35</v>
      </c>
      <c r="AO164" s="14">
        <v>35</v>
      </c>
      <c r="AP164" s="14">
        <v>35</v>
      </c>
      <c r="AQ164" s="14">
        <v>40</v>
      </c>
      <c r="AR164" s="14">
        <v>40</v>
      </c>
      <c r="AS164" s="14">
        <v>40</v>
      </c>
      <c r="AT164" s="14">
        <v>40</v>
      </c>
      <c r="AU164" s="14">
        <v>40</v>
      </c>
      <c r="AV164" s="14">
        <v>45</v>
      </c>
      <c r="AW164" s="14">
        <v>35</v>
      </c>
      <c r="AX164" s="14">
        <v>35</v>
      </c>
    </row>
    <row r="165" spans="1:50" ht="20.100000000000001" customHeight="1">
      <c r="A165" s="1">
        <v>164</v>
      </c>
      <c r="B165" s="2" t="s">
        <v>162</v>
      </c>
      <c r="C165" s="10">
        <v>962.38250000000005</v>
      </c>
      <c r="D165" s="10">
        <v>4513.8710000000001</v>
      </c>
      <c r="E165" s="10">
        <v>8184.4390000000003</v>
      </c>
      <c r="F165" s="10">
        <v>763.99570000000006</v>
      </c>
      <c r="G165" s="10">
        <v>790.9058</v>
      </c>
      <c r="H165" s="10">
        <v>1623.2101</v>
      </c>
      <c r="I165" s="10">
        <v>691.30769184899998</v>
      </c>
      <c r="J165" s="10">
        <v>3117.1337941010001</v>
      </c>
      <c r="K165" s="10">
        <v>5564.8773779929998</v>
      </c>
      <c r="L165" s="10">
        <v>519.46656184200003</v>
      </c>
      <c r="M165" s="10">
        <v>537.76366415500001</v>
      </c>
      <c r="N165" s="10">
        <v>1103.6611498274001</v>
      </c>
      <c r="O165" s="7">
        <v>0.89280000000000004</v>
      </c>
      <c r="P165" s="7">
        <v>3.6903000000000001</v>
      </c>
      <c r="Q165" s="7">
        <v>0.81320000000000003</v>
      </c>
      <c r="R165" s="7">
        <v>-0.90669999999999995</v>
      </c>
      <c r="S165" s="7">
        <v>3.5200000000000002E-2</v>
      </c>
      <c r="T165" s="7">
        <v>1.0523</v>
      </c>
      <c r="U165" s="7">
        <v>0.83030000000000004</v>
      </c>
      <c r="V165" s="7">
        <v>3.5089999999999999</v>
      </c>
      <c r="W165" s="7">
        <v>0.7853</v>
      </c>
      <c r="X165" s="7">
        <v>-0.90669999999999995</v>
      </c>
      <c r="Y165" s="7">
        <v>3.5200000000000002E-2</v>
      </c>
      <c r="Z165" s="7">
        <v>1.0523</v>
      </c>
      <c r="AA165" s="10">
        <v>9313.7553879999996</v>
      </c>
      <c r="AB165" s="10">
        <v>19566.713</v>
      </c>
      <c r="AC165" s="10">
        <v>19958.047259999999</v>
      </c>
      <c r="AD165" s="10">
        <v>16807.806466999999</v>
      </c>
      <c r="AE165" s="10">
        <v>13598.865535000001</v>
      </c>
      <c r="AF165" s="10">
        <v>13031.430858</v>
      </c>
      <c r="AG165" s="10">
        <v>14127.166786</v>
      </c>
      <c r="AH165" s="10">
        <v>13696.6991</v>
      </c>
      <c r="AI165" s="10">
        <v>15066.36901</v>
      </c>
      <c r="AJ165" s="10">
        <v>16624.166763450001</v>
      </c>
      <c r="AK165" s="10">
        <v>5478.6796400000003</v>
      </c>
      <c r="AL165" s="10">
        <v>7357.0840879999996</v>
      </c>
      <c r="AM165" s="14">
        <v>40</v>
      </c>
      <c r="AN165" s="14">
        <v>40</v>
      </c>
      <c r="AO165" s="14">
        <v>45</v>
      </c>
      <c r="AP165" s="14">
        <v>45</v>
      </c>
      <c r="AQ165" s="14">
        <v>45</v>
      </c>
      <c r="AR165" s="14">
        <v>45</v>
      </c>
      <c r="AS165" s="14">
        <v>45</v>
      </c>
      <c r="AT165" s="14">
        <v>45</v>
      </c>
      <c r="AU165" s="14">
        <v>40</v>
      </c>
      <c r="AV165" s="14">
        <v>40</v>
      </c>
      <c r="AW165" s="14">
        <v>40</v>
      </c>
      <c r="AX165" s="14">
        <v>40</v>
      </c>
    </row>
    <row r="166" spans="1:50" ht="20.100000000000001" customHeight="1">
      <c r="A166" s="1">
        <v>165</v>
      </c>
      <c r="B166" s="2" t="s">
        <v>163</v>
      </c>
      <c r="C166" s="10">
        <v>1974.9460999999999</v>
      </c>
      <c r="D166" s="10">
        <v>621.92650000000003</v>
      </c>
      <c r="E166" s="10">
        <v>232.8279</v>
      </c>
      <c r="F166" s="10">
        <v>774.43</v>
      </c>
      <c r="G166" s="10">
        <v>1276.3164999999999</v>
      </c>
      <c r="H166" s="10">
        <v>1175.4586999999999</v>
      </c>
      <c r="I166" s="10">
        <v>908.81352372100002</v>
      </c>
      <c r="J166" s="10">
        <v>477.371142384</v>
      </c>
      <c r="K166" s="10">
        <v>178.71033577399999</v>
      </c>
      <c r="L166" s="10">
        <v>594.42452218599999</v>
      </c>
      <c r="M166" s="10">
        <v>979.65453633799996</v>
      </c>
      <c r="N166" s="10">
        <v>1021.0986595381</v>
      </c>
      <c r="O166" s="7">
        <v>0.68469999999999998</v>
      </c>
      <c r="P166" s="7">
        <v>-0.68510000000000004</v>
      </c>
      <c r="Q166" s="7">
        <v>-0.62560000000000004</v>
      </c>
      <c r="R166" s="7">
        <v>2.3262</v>
      </c>
      <c r="S166" s="7">
        <v>0.64810000000000001</v>
      </c>
      <c r="T166" s="7">
        <v>-7.9000000000000001E-2</v>
      </c>
      <c r="U166" s="7">
        <v>0.68469999999999998</v>
      </c>
      <c r="V166" s="7">
        <v>-0.47470000000000001</v>
      </c>
      <c r="W166" s="7">
        <v>-0.62560000000000004</v>
      </c>
      <c r="X166" s="7">
        <v>2.3262</v>
      </c>
      <c r="Y166" s="7">
        <v>0.64810000000000001</v>
      </c>
      <c r="Z166" s="7">
        <v>4.2299999999999997E-2</v>
      </c>
      <c r="AA166" s="10">
        <v>8721.9900063999994</v>
      </c>
      <c r="AB166" s="10">
        <v>16983.918021599999</v>
      </c>
      <c r="AC166" s="10">
        <v>7149.9095201</v>
      </c>
      <c r="AD166" s="10">
        <v>4537.1855739700004</v>
      </c>
      <c r="AE166" s="10">
        <v>5940.4388442700001</v>
      </c>
      <c r="AF166" s="10">
        <v>8820.4491276000008</v>
      </c>
      <c r="AG166" s="10">
        <v>12696.101017000001</v>
      </c>
      <c r="AH166" s="10">
        <v>10123.470021450001</v>
      </c>
      <c r="AI166" s="10">
        <v>13364.316860000001</v>
      </c>
      <c r="AJ166" s="10">
        <v>18893.80294125</v>
      </c>
      <c r="AK166" s="10">
        <v>7524.6843132000004</v>
      </c>
      <c r="AL166" s="10">
        <v>7047.7677018000004</v>
      </c>
      <c r="AM166" s="14">
        <v>55</v>
      </c>
      <c r="AN166" s="14">
        <v>65</v>
      </c>
      <c r="AO166" s="14">
        <v>60</v>
      </c>
      <c r="AP166" s="14">
        <v>60</v>
      </c>
      <c r="AQ166" s="14">
        <v>60</v>
      </c>
      <c r="AR166" s="14">
        <v>55</v>
      </c>
      <c r="AS166" s="14">
        <v>55</v>
      </c>
      <c r="AT166" s="14">
        <v>55</v>
      </c>
      <c r="AU166" s="14">
        <v>55</v>
      </c>
      <c r="AV166" s="14">
        <v>55</v>
      </c>
      <c r="AW166" s="14">
        <v>55</v>
      </c>
      <c r="AX166" s="14">
        <v>55</v>
      </c>
    </row>
    <row r="167" spans="1:50" ht="20.100000000000001" customHeight="1">
      <c r="A167" s="1">
        <v>166</v>
      </c>
      <c r="B167" s="2" t="s">
        <v>164</v>
      </c>
      <c r="C167" s="10">
        <v>806.90419999999995</v>
      </c>
      <c r="D167" s="10">
        <v>2234.3162000000002</v>
      </c>
      <c r="E167" s="10">
        <v>1140.9965</v>
      </c>
      <c r="F167" s="10">
        <v>2230.3829000000001</v>
      </c>
      <c r="G167" s="10">
        <v>2274.3757999999998</v>
      </c>
      <c r="H167" s="10">
        <v>2163.2422000000001</v>
      </c>
      <c r="I167" s="10">
        <v>988.46528603499996</v>
      </c>
      <c r="J167" s="10">
        <v>2838.9042728569998</v>
      </c>
      <c r="K167" s="10">
        <v>1449.740967084</v>
      </c>
      <c r="L167" s="10">
        <v>2833.9067277119998</v>
      </c>
      <c r="M167" s="10">
        <v>2889.8037025399999</v>
      </c>
      <c r="N167" s="10">
        <v>2748.5982433185</v>
      </c>
      <c r="O167" s="7">
        <v>-0.76819999999999999</v>
      </c>
      <c r="P167" s="7">
        <v>1.7689999999999999</v>
      </c>
      <c r="Q167" s="7">
        <v>-0.48930000000000001</v>
      </c>
      <c r="R167" s="7">
        <v>0.95479999999999998</v>
      </c>
      <c r="S167" s="7">
        <v>1.9699999999999999E-2</v>
      </c>
      <c r="T167" s="7">
        <v>-4.8899999999999999E-2</v>
      </c>
      <c r="U167" s="7">
        <v>-0.76229999999999998</v>
      </c>
      <c r="V167" s="7">
        <v>1.8720000000000001</v>
      </c>
      <c r="W167" s="7">
        <v>-0.48930000000000001</v>
      </c>
      <c r="X167" s="7">
        <v>0.95479999999999998</v>
      </c>
      <c r="Y167" s="7">
        <v>1.9699999999999999E-2</v>
      </c>
      <c r="Z167" s="7">
        <v>-4.8899999999999999E-2</v>
      </c>
      <c r="AA167" s="10">
        <v>68160.965278000003</v>
      </c>
      <c r="AB167" s="10">
        <v>68484.921466500004</v>
      </c>
      <c r="AC167" s="10">
        <v>51204.867070499997</v>
      </c>
      <c r="AD167" s="10">
        <v>40277.773849500001</v>
      </c>
      <c r="AE167" s="10">
        <v>47456.619977249997</v>
      </c>
      <c r="AF167" s="10">
        <v>43835.432107499997</v>
      </c>
      <c r="AG167" s="10">
        <v>51967.222411499999</v>
      </c>
      <c r="AH167" s="10">
        <v>47647.208812500001</v>
      </c>
      <c r="AI167" s="10">
        <v>47329.560753749996</v>
      </c>
      <c r="AJ167" s="10">
        <v>44089.550554499998</v>
      </c>
      <c r="AK167" s="10">
        <v>52991.188957500002</v>
      </c>
      <c r="AL167" s="10">
        <v>66547.202630999993</v>
      </c>
      <c r="AM167" s="14">
        <v>13</v>
      </c>
      <c r="AN167" s="14">
        <v>10</v>
      </c>
      <c r="AO167" s="14">
        <v>10</v>
      </c>
      <c r="AP167" s="14">
        <v>10</v>
      </c>
      <c r="AQ167" s="14">
        <v>10</v>
      </c>
      <c r="AR167" s="14">
        <v>10</v>
      </c>
      <c r="AS167" s="14">
        <v>10</v>
      </c>
      <c r="AT167" s="14">
        <v>9</v>
      </c>
      <c r="AU167" s="14">
        <v>10</v>
      </c>
      <c r="AV167" s="14">
        <v>10</v>
      </c>
      <c r="AW167" s="14">
        <v>9</v>
      </c>
      <c r="AX167" s="14">
        <v>11</v>
      </c>
    </row>
    <row r="168" spans="1:50" ht="20.100000000000001" customHeight="1">
      <c r="A168" s="1">
        <v>167</v>
      </c>
      <c r="B168" s="2" t="s">
        <v>165</v>
      </c>
      <c r="C168" s="10">
        <v>-108.4794</v>
      </c>
      <c r="D168" s="10">
        <v>613.81060000000002</v>
      </c>
      <c r="E168" s="10">
        <v>630.60889999999995</v>
      </c>
      <c r="F168" s="10">
        <v>545.94290000000001</v>
      </c>
      <c r="G168" s="10">
        <v>397.43079999999998</v>
      </c>
      <c r="H168" s="10">
        <v>436.6155</v>
      </c>
      <c r="I168" s="10">
        <v>-112.192594949</v>
      </c>
      <c r="J168" s="10">
        <v>604.82098417999998</v>
      </c>
      <c r="K168" s="10">
        <v>651.19427589500003</v>
      </c>
      <c r="L168" s="10">
        <v>562.63023329199996</v>
      </c>
      <c r="M168" s="10">
        <v>411.03469830300003</v>
      </c>
      <c r="N168" s="10">
        <v>451.56083008500002</v>
      </c>
      <c r="O168" s="7"/>
      <c r="P168" s="7"/>
      <c r="Q168" s="7">
        <v>2.7400000000000001E-2</v>
      </c>
      <c r="R168" s="7">
        <v>-0.1343</v>
      </c>
      <c r="S168" s="7">
        <v>-0.27200000000000002</v>
      </c>
      <c r="T168" s="7">
        <v>9.8599999999999993E-2</v>
      </c>
      <c r="U168" s="7"/>
      <c r="V168" s="7"/>
      <c r="W168" s="7">
        <v>7.6700000000000004E-2</v>
      </c>
      <c r="X168" s="7">
        <v>-0.13600000000000001</v>
      </c>
      <c r="Y168" s="7">
        <v>-0.26939999999999997</v>
      </c>
      <c r="Z168" s="7">
        <v>9.8599999999999993E-2</v>
      </c>
      <c r="AA168" s="10">
        <v>15841.293251499999</v>
      </c>
      <c r="AB168" s="10">
        <v>17708.077498999999</v>
      </c>
      <c r="AC168" s="10">
        <v>13007.5044215</v>
      </c>
      <c r="AD168" s="10">
        <v>8054.5793460000004</v>
      </c>
      <c r="AE168" s="10">
        <v>10532.593228</v>
      </c>
      <c r="AF168" s="10">
        <v>10252.3170335</v>
      </c>
      <c r="AG168" s="10">
        <v>12710.680555000001</v>
      </c>
      <c r="AH168" s="10">
        <v>12444.883573499999</v>
      </c>
      <c r="AI168" s="10">
        <v>11836.756627500001</v>
      </c>
      <c r="AJ168" s="10">
        <v>11214.1504685</v>
      </c>
      <c r="AK168" s="10">
        <v>8228.3299019999995</v>
      </c>
      <c r="AL168" s="10">
        <v>12220.455771999999</v>
      </c>
      <c r="AM168" s="14">
        <v>15</v>
      </c>
      <c r="AN168" s="14">
        <v>15</v>
      </c>
      <c r="AO168" s="14">
        <v>15</v>
      </c>
      <c r="AP168" s="14">
        <v>15</v>
      </c>
      <c r="AQ168" s="14">
        <v>15</v>
      </c>
      <c r="AR168" s="14">
        <v>15</v>
      </c>
      <c r="AS168" s="14">
        <v>15</v>
      </c>
      <c r="AT168" s="14">
        <v>15</v>
      </c>
      <c r="AU168" s="14">
        <v>15</v>
      </c>
      <c r="AV168" s="14">
        <v>20</v>
      </c>
      <c r="AW168" s="14">
        <v>15</v>
      </c>
      <c r="AX168" s="14">
        <v>15</v>
      </c>
    </row>
    <row r="169" spans="1:50" ht="20.100000000000001" customHeight="1">
      <c r="A169" s="1">
        <v>168</v>
      </c>
      <c r="B169" s="2" t="s">
        <v>166</v>
      </c>
      <c r="C169" s="10">
        <v>1365.999</v>
      </c>
      <c r="D169" s="10">
        <v>1703.3822</v>
      </c>
      <c r="E169" s="10">
        <v>1762.4251999999999</v>
      </c>
      <c r="F169" s="10">
        <v>1734.8802000000001</v>
      </c>
      <c r="G169" s="10">
        <v>2469.4333999999999</v>
      </c>
      <c r="H169" s="10">
        <v>2165.3247999999999</v>
      </c>
      <c r="I169" s="10">
        <v>446.627036766</v>
      </c>
      <c r="J169" s="10">
        <v>556.93784795500005</v>
      </c>
      <c r="K169" s="10">
        <v>576.24253386400005</v>
      </c>
      <c r="L169" s="10">
        <v>567.23642529599999</v>
      </c>
      <c r="M169" s="10">
        <v>807.40593456199997</v>
      </c>
      <c r="N169" s="10">
        <v>707.97458427080005</v>
      </c>
      <c r="O169" s="7">
        <v>0.1515</v>
      </c>
      <c r="P169" s="7">
        <v>0.247</v>
      </c>
      <c r="Q169" s="7">
        <v>3.4700000000000002E-2</v>
      </c>
      <c r="R169" s="7">
        <v>-1.5599999999999999E-2</v>
      </c>
      <c r="S169" s="7">
        <v>0.4234</v>
      </c>
      <c r="T169" s="7">
        <v>-0.1231</v>
      </c>
      <c r="U169" s="7">
        <v>0.1515</v>
      </c>
      <c r="V169" s="7">
        <v>0.247</v>
      </c>
      <c r="W169" s="7">
        <v>3.4700000000000002E-2</v>
      </c>
      <c r="X169" s="7">
        <v>-1.5599999999999999E-2</v>
      </c>
      <c r="Y169" s="7">
        <v>0.4234</v>
      </c>
      <c r="Z169" s="7">
        <v>-0.1231</v>
      </c>
      <c r="AA169" s="10">
        <v>7552.7759999999998</v>
      </c>
      <c r="AB169" s="10">
        <v>8762.5280000000002</v>
      </c>
      <c r="AC169" s="10">
        <v>5819.8879999999999</v>
      </c>
      <c r="AD169" s="10">
        <v>5362.1440000000002</v>
      </c>
      <c r="AE169" s="10">
        <v>7563.89264</v>
      </c>
      <c r="AF169" s="10">
        <v>6825.6169600000003</v>
      </c>
      <c r="AG169" s="10">
        <v>9833.3220000000001</v>
      </c>
      <c r="AH169" s="10">
        <v>13718.914640000001</v>
      </c>
      <c r="AI169" s="10">
        <v>12271.78968</v>
      </c>
      <c r="AJ169" s="10">
        <v>11396.1908</v>
      </c>
      <c r="AK169" s="10">
        <v>3073.424</v>
      </c>
      <c r="AL169" s="10">
        <v>5198.6639999999998</v>
      </c>
      <c r="AM169" s="14">
        <v>100</v>
      </c>
      <c r="AN169" s="14">
        <v>10</v>
      </c>
      <c r="AO169" s="14">
        <v>7</v>
      </c>
      <c r="AP169" s="14">
        <v>10</v>
      </c>
      <c r="AQ169" s="14">
        <v>10</v>
      </c>
      <c r="AR169" s="14">
        <v>10</v>
      </c>
      <c r="AS169" s="14">
        <v>10</v>
      </c>
      <c r="AT169" s="14">
        <v>10</v>
      </c>
      <c r="AU169" s="14">
        <v>10</v>
      </c>
      <c r="AV169" s="14">
        <v>10</v>
      </c>
      <c r="AW169" s="14">
        <v>100</v>
      </c>
      <c r="AX169" s="14">
        <v>100</v>
      </c>
    </row>
    <row r="170" spans="1:50" ht="20.100000000000001" customHeight="1">
      <c r="A170" s="1">
        <v>169</v>
      </c>
      <c r="B170" s="2" t="s">
        <v>167</v>
      </c>
      <c r="C170" s="10">
        <v>1906.1789000000001</v>
      </c>
      <c r="D170" s="10">
        <v>1932.126</v>
      </c>
      <c r="E170" s="10">
        <v>1630.2066</v>
      </c>
      <c r="F170" s="10">
        <v>3299.4708000000001</v>
      </c>
      <c r="G170" s="10">
        <v>1805.701</v>
      </c>
      <c r="H170" s="10"/>
      <c r="I170" s="10">
        <v>115.71415237399999</v>
      </c>
      <c r="J170" s="10">
        <v>119.193005418</v>
      </c>
      <c r="K170" s="10">
        <v>106.076386564</v>
      </c>
      <c r="L170" s="10">
        <v>217.18915334299999</v>
      </c>
      <c r="M170" s="10">
        <v>120.41676122200001</v>
      </c>
      <c r="N170" s="10"/>
      <c r="O170" s="7">
        <v>0.46229999999999999</v>
      </c>
      <c r="P170" s="7">
        <v>1.3599999999999999E-2</v>
      </c>
      <c r="Q170" s="7">
        <v>-0.15629999999999999</v>
      </c>
      <c r="R170" s="7">
        <v>1.024</v>
      </c>
      <c r="S170" s="7">
        <v>-0.45269999999999999</v>
      </c>
      <c r="T170" s="7"/>
      <c r="U170" s="7">
        <v>0.4869</v>
      </c>
      <c r="V170" s="7">
        <v>3.0099999999999998E-2</v>
      </c>
      <c r="W170" s="7">
        <v>-0.11</v>
      </c>
      <c r="X170" s="7">
        <v>1.0475000000000001</v>
      </c>
      <c r="Y170" s="7">
        <v>-0.4456</v>
      </c>
      <c r="Z170" s="7"/>
      <c r="AA170" s="10">
        <v>893.60547250000002</v>
      </c>
      <c r="AB170" s="10">
        <v>1576.7580825</v>
      </c>
      <c r="AC170" s="10">
        <v>688.48695999999995</v>
      </c>
      <c r="AD170" s="10">
        <v>462.32665009999999</v>
      </c>
      <c r="AE170" s="10">
        <v>1274.3910332999999</v>
      </c>
      <c r="AF170" s="10">
        <v>1213.8726336</v>
      </c>
      <c r="AG170" s="10">
        <v>1605.8915655000001</v>
      </c>
      <c r="AH170" s="10">
        <v>1552.197195</v>
      </c>
      <c r="AI170" s="10">
        <v>1140.3315405000001</v>
      </c>
      <c r="AJ170" s="10">
        <v>1227.023412</v>
      </c>
      <c r="AK170" s="10">
        <v>290.05576459999997</v>
      </c>
      <c r="AL170" s="10">
        <v>767.12592870000003</v>
      </c>
      <c r="AM170" s="14">
        <v>100</v>
      </c>
      <c r="AN170" s="14">
        <v>60</v>
      </c>
      <c r="AO170" s="14">
        <v>55</v>
      </c>
      <c r="AP170" s="14">
        <v>55</v>
      </c>
      <c r="AQ170" s="14">
        <v>55</v>
      </c>
      <c r="AR170" s="14">
        <v>65</v>
      </c>
      <c r="AS170" s="14">
        <v>60</v>
      </c>
      <c r="AT170" s="14">
        <v>60</v>
      </c>
      <c r="AU170" s="14">
        <v>55</v>
      </c>
      <c r="AV170" s="14">
        <v>60</v>
      </c>
      <c r="AW170" s="14">
        <v>100</v>
      </c>
      <c r="AX170" s="14">
        <v>100</v>
      </c>
    </row>
    <row r="171" spans="1:50" ht="20.100000000000001" customHeight="1">
      <c r="A171" s="1">
        <v>170</v>
      </c>
      <c r="B171" s="2" t="s">
        <v>168</v>
      </c>
      <c r="C171" s="10">
        <v>3125.7620000000002</v>
      </c>
      <c r="D171" s="10">
        <v>4794.8226999999997</v>
      </c>
      <c r="E171" s="10">
        <v>9348.3435000000009</v>
      </c>
      <c r="F171" s="10">
        <v>3882.2426999999998</v>
      </c>
      <c r="G171" s="10">
        <v>4799.5628999999999</v>
      </c>
      <c r="H171" s="10">
        <v>6901.0587999999998</v>
      </c>
      <c r="I171" s="10">
        <v>719.30837017900001</v>
      </c>
      <c r="J171" s="10">
        <v>1098.959364238</v>
      </c>
      <c r="K171" s="10">
        <v>1975.2323412400001</v>
      </c>
      <c r="L171" s="10">
        <v>919.19103296499998</v>
      </c>
      <c r="M171" s="10">
        <v>1226.2049381950001</v>
      </c>
      <c r="N171" s="10">
        <v>1630.4877349992</v>
      </c>
      <c r="O171" s="7">
        <v>-0.39069999999999999</v>
      </c>
      <c r="P171" s="7">
        <v>0.53400000000000003</v>
      </c>
      <c r="Q171" s="7">
        <v>0.94969999999999999</v>
      </c>
      <c r="R171" s="7">
        <v>-0.5847</v>
      </c>
      <c r="S171" s="7">
        <v>0.23630000000000001</v>
      </c>
      <c r="T171" s="7">
        <v>0.43790000000000001</v>
      </c>
      <c r="U171" s="7">
        <v>-0.39</v>
      </c>
      <c r="V171" s="7">
        <v>0.52780000000000005</v>
      </c>
      <c r="W171" s="7">
        <v>0.7974</v>
      </c>
      <c r="X171" s="7">
        <v>-0.53459999999999996</v>
      </c>
      <c r="Y171" s="7">
        <v>0.33400000000000002</v>
      </c>
      <c r="Z171" s="7">
        <v>0.32969999999999999</v>
      </c>
      <c r="AA171" s="10">
        <v>8278.544183</v>
      </c>
      <c r="AB171" s="10">
        <v>11426.2104328</v>
      </c>
      <c r="AC171" s="10">
        <v>17145.745385999999</v>
      </c>
      <c r="AD171" s="10">
        <v>12799.7115288</v>
      </c>
      <c r="AE171" s="10">
        <v>11919.502140000001</v>
      </c>
      <c r="AF171" s="10">
        <v>13916.110428</v>
      </c>
      <c r="AG171" s="10">
        <v>15734.1664459</v>
      </c>
      <c r="AH171" s="10">
        <v>15823.9477095</v>
      </c>
      <c r="AI171" s="10">
        <v>13399.8535923</v>
      </c>
      <c r="AJ171" s="10">
        <v>13085.619169699999</v>
      </c>
      <c r="AK171" s="10">
        <v>6386.3055125999999</v>
      </c>
      <c r="AL171" s="10">
        <v>7532.5654764000001</v>
      </c>
      <c r="AM171" s="14">
        <v>45</v>
      </c>
      <c r="AN171" s="14">
        <v>45</v>
      </c>
      <c r="AO171" s="14">
        <v>45</v>
      </c>
      <c r="AP171" s="14">
        <v>50</v>
      </c>
      <c r="AQ171" s="14">
        <v>50</v>
      </c>
      <c r="AR171" s="14">
        <v>50</v>
      </c>
      <c r="AS171" s="14">
        <v>45</v>
      </c>
      <c r="AT171" s="14">
        <v>45</v>
      </c>
      <c r="AU171" s="14">
        <v>50</v>
      </c>
      <c r="AV171" s="14">
        <v>50</v>
      </c>
      <c r="AW171" s="14">
        <v>45</v>
      </c>
      <c r="AX171" s="14">
        <v>45</v>
      </c>
    </row>
    <row r="172" spans="1:50" ht="20.100000000000001" customHeight="1">
      <c r="A172" s="1">
        <v>171</v>
      </c>
      <c r="B172" s="2" t="s">
        <v>169</v>
      </c>
      <c r="C172" s="10">
        <v>1339.9121</v>
      </c>
      <c r="D172" s="10">
        <v>2729.2341000000001</v>
      </c>
      <c r="E172" s="10">
        <v>3854.5497</v>
      </c>
      <c r="F172" s="10">
        <v>2716.8957999999998</v>
      </c>
      <c r="G172" s="10">
        <v>2464.0010000000002</v>
      </c>
      <c r="H172" s="10">
        <v>2839.4848000000002</v>
      </c>
      <c r="I172" s="10">
        <v>600.74958224700003</v>
      </c>
      <c r="J172" s="10">
        <v>1223.6521024670001</v>
      </c>
      <c r="K172" s="10">
        <v>1728.187379363</v>
      </c>
      <c r="L172" s="10">
        <v>1218.1202529330001</v>
      </c>
      <c r="M172" s="10">
        <v>1104.734866668</v>
      </c>
      <c r="N172" s="10">
        <v>1273.0830221742001</v>
      </c>
      <c r="O172" s="7">
        <v>-7.7899999999999997E-2</v>
      </c>
      <c r="P172" s="7">
        <v>1.0368999999999999</v>
      </c>
      <c r="Q172" s="7">
        <v>0.4123</v>
      </c>
      <c r="R172" s="7">
        <v>-0.29509999999999997</v>
      </c>
      <c r="S172" s="7">
        <v>-9.3100000000000002E-2</v>
      </c>
      <c r="T172" s="7">
        <v>0.15240000000000001</v>
      </c>
      <c r="U172" s="7">
        <v>-7.7899999999999997E-2</v>
      </c>
      <c r="V172" s="7">
        <v>1.0368999999999999</v>
      </c>
      <c r="W172" s="7">
        <v>0.4123</v>
      </c>
      <c r="X172" s="7">
        <v>-0.29509999999999997</v>
      </c>
      <c r="Y172" s="7">
        <v>-9.3100000000000002E-2</v>
      </c>
      <c r="Z172" s="7">
        <v>0.15240000000000001</v>
      </c>
      <c r="AA172" s="10">
        <v>13450.5</v>
      </c>
      <c r="AB172" s="10">
        <v>23852.22</v>
      </c>
      <c r="AC172" s="10">
        <v>23583.21</v>
      </c>
      <c r="AD172" s="10">
        <v>15154.23</v>
      </c>
      <c r="AE172" s="10">
        <v>19099.71</v>
      </c>
      <c r="AF172" s="10">
        <v>24614.415000000001</v>
      </c>
      <c r="AG172" s="10">
        <v>23359.035</v>
      </c>
      <c r="AH172" s="10">
        <v>20153.3325</v>
      </c>
      <c r="AI172" s="10">
        <v>20153.3325</v>
      </c>
      <c r="AJ172" s="10">
        <v>20556.8475</v>
      </c>
      <c r="AK172" s="10">
        <v>8541.0674999999992</v>
      </c>
      <c r="AL172" s="10">
        <v>12015.78</v>
      </c>
      <c r="AM172" s="14">
        <v>15</v>
      </c>
      <c r="AN172" s="14">
        <v>11</v>
      </c>
      <c r="AO172" s="14">
        <v>11</v>
      </c>
      <c r="AP172" s="14">
        <v>10</v>
      </c>
      <c r="AQ172" s="14">
        <v>10</v>
      </c>
      <c r="AR172" s="14">
        <v>12</v>
      </c>
      <c r="AS172" s="14">
        <v>11</v>
      </c>
      <c r="AT172" s="14">
        <v>12</v>
      </c>
      <c r="AU172" s="14">
        <v>11</v>
      </c>
      <c r="AV172" s="14">
        <v>12</v>
      </c>
      <c r="AW172" s="14">
        <v>35</v>
      </c>
      <c r="AX172" s="14">
        <v>40</v>
      </c>
    </row>
    <row r="173" spans="1:50" ht="20.100000000000001" customHeight="1">
      <c r="A173" s="1">
        <v>172</v>
      </c>
      <c r="B173" s="2" t="s">
        <v>170</v>
      </c>
      <c r="C173" s="10">
        <v>5017.1208999999999</v>
      </c>
      <c r="D173" s="10">
        <v>7086.9576999999999</v>
      </c>
      <c r="E173" s="10">
        <v>6828.6324000000004</v>
      </c>
      <c r="F173" s="10">
        <v>3640.8229000000001</v>
      </c>
      <c r="G173" s="10">
        <v>5236.9120999999996</v>
      </c>
      <c r="H173" s="10">
        <v>4023.2121000000002</v>
      </c>
      <c r="I173" s="10">
        <v>358.501244681</v>
      </c>
      <c r="J173" s="10">
        <v>511.84064098599998</v>
      </c>
      <c r="K173" s="10">
        <v>487.29181136800003</v>
      </c>
      <c r="L173" s="10">
        <v>257.762340542</v>
      </c>
      <c r="M173" s="10">
        <v>368.66953436400001</v>
      </c>
      <c r="N173" s="10">
        <v>281.57209193009999</v>
      </c>
      <c r="O173" s="7">
        <v>-0.1525</v>
      </c>
      <c r="P173" s="7">
        <v>0.41260000000000002</v>
      </c>
      <c r="Q173" s="7">
        <v>-3.6499999999999998E-2</v>
      </c>
      <c r="R173" s="7">
        <v>-0.46679999999999999</v>
      </c>
      <c r="S173" s="7">
        <v>0.43840000000000001</v>
      </c>
      <c r="T173" s="7">
        <v>-0.23180000000000001</v>
      </c>
      <c r="U173" s="7">
        <v>-0.17660000000000001</v>
      </c>
      <c r="V173" s="7">
        <v>0.42770000000000002</v>
      </c>
      <c r="W173" s="7">
        <v>-4.8000000000000001E-2</v>
      </c>
      <c r="X173" s="7">
        <v>-0.47099999999999997</v>
      </c>
      <c r="Y173" s="7">
        <v>0.43030000000000002</v>
      </c>
      <c r="Z173" s="7">
        <v>-0.23619999999999999</v>
      </c>
      <c r="AA173" s="10">
        <v>4198.9917023999997</v>
      </c>
      <c r="AB173" s="10">
        <v>4811.106366</v>
      </c>
      <c r="AC173" s="10">
        <v>4109.5195412000003</v>
      </c>
      <c r="AD173" s="10">
        <v>2850.8090857000002</v>
      </c>
      <c r="AE173" s="10">
        <v>3235.2260626500001</v>
      </c>
      <c r="AF173" s="10">
        <v>3949.365777</v>
      </c>
      <c r="AG173" s="10">
        <v>4759.3204532999998</v>
      </c>
      <c r="AH173" s="10">
        <v>4504.9545219000001</v>
      </c>
      <c r="AI173" s="10">
        <v>3674.9183247000001</v>
      </c>
      <c r="AJ173" s="10">
        <v>3373.6955112000001</v>
      </c>
      <c r="AK173" s="10">
        <v>2256.8998689999999</v>
      </c>
      <c r="AL173" s="10">
        <v>2837.2455495999998</v>
      </c>
      <c r="AM173" s="14">
        <v>50</v>
      </c>
      <c r="AN173" s="14">
        <v>60</v>
      </c>
      <c r="AO173" s="14">
        <v>60</v>
      </c>
      <c r="AP173" s="14">
        <v>60</v>
      </c>
      <c r="AQ173" s="14">
        <v>60</v>
      </c>
      <c r="AR173" s="14">
        <v>60</v>
      </c>
      <c r="AS173" s="14">
        <v>70</v>
      </c>
      <c r="AT173" s="14">
        <v>75</v>
      </c>
      <c r="AU173" s="14">
        <v>50</v>
      </c>
      <c r="AV173" s="14">
        <v>55</v>
      </c>
      <c r="AW173" s="14">
        <v>55</v>
      </c>
      <c r="AX173" s="14">
        <v>50</v>
      </c>
    </row>
    <row r="174" spans="1:50" ht="20.100000000000001" customHeight="1">
      <c r="A174" s="1">
        <v>173</v>
      </c>
      <c r="B174" s="2" t="s">
        <v>171</v>
      </c>
      <c r="C174" s="10">
        <v>1768.9636</v>
      </c>
      <c r="D174" s="10">
        <v>-77.687799999999996</v>
      </c>
      <c r="E174" s="10">
        <v>1687.0395000000001</v>
      </c>
      <c r="F174" s="10">
        <v>1396.1384</v>
      </c>
      <c r="G174" s="10">
        <v>1807.8186000000001</v>
      </c>
      <c r="H174" s="10">
        <v>2343.75</v>
      </c>
      <c r="I174" s="10">
        <v>96.939207947</v>
      </c>
      <c r="J174" s="10">
        <v>-4.2572923219999996</v>
      </c>
      <c r="K174" s="10">
        <v>92.44976226</v>
      </c>
      <c r="L174" s="10">
        <v>76.508381932999995</v>
      </c>
      <c r="M174" s="10">
        <v>99.068458805000006</v>
      </c>
      <c r="N174" s="10">
        <v>150</v>
      </c>
      <c r="O174" s="7">
        <v>0.3856</v>
      </c>
      <c r="P174" s="7"/>
      <c r="Q174" s="7"/>
      <c r="R174" s="7">
        <v>-0.1724</v>
      </c>
      <c r="S174" s="7">
        <v>0.2949</v>
      </c>
      <c r="T174" s="7">
        <v>0.29649999999999999</v>
      </c>
      <c r="U174" s="7">
        <v>0.20530000000000001</v>
      </c>
      <c r="V174" s="7"/>
      <c r="W174" s="7"/>
      <c r="X174" s="7">
        <v>-0.1724</v>
      </c>
      <c r="Y174" s="7">
        <v>0.2949</v>
      </c>
      <c r="Z174" s="7">
        <v>0.5141</v>
      </c>
      <c r="AA174" s="10">
        <v>843.91995380000003</v>
      </c>
      <c r="AB174" s="10">
        <v>1476.85991915</v>
      </c>
      <c r="AC174" s="10">
        <v>706.91996129999995</v>
      </c>
      <c r="AD174" s="10">
        <v>695.95996190000005</v>
      </c>
      <c r="AE174" s="10">
        <v>789.11995679999995</v>
      </c>
      <c r="AF174" s="10">
        <v>843.91995380000003</v>
      </c>
      <c r="AG174" s="10">
        <v>915.15994990000002</v>
      </c>
      <c r="AH174" s="10">
        <v>1046.6799427000001</v>
      </c>
      <c r="AI174" s="10">
        <v>1339.85992665</v>
      </c>
      <c r="AJ174" s="10">
        <v>1496.24992875</v>
      </c>
      <c r="AK174" s="10">
        <v>794.59995649999996</v>
      </c>
      <c r="AL174" s="10">
        <v>849.39995350000004</v>
      </c>
      <c r="AM174" s="14">
        <v>90</v>
      </c>
      <c r="AN174" s="14">
        <v>90</v>
      </c>
      <c r="AO174" s="14">
        <v>90</v>
      </c>
      <c r="AP174" s="14">
        <v>90</v>
      </c>
      <c r="AQ174" s="14">
        <v>90</v>
      </c>
      <c r="AR174" s="14">
        <v>90</v>
      </c>
      <c r="AS174" s="14">
        <v>90</v>
      </c>
      <c r="AT174" s="14">
        <v>90</v>
      </c>
      <c r="AU174" s="14">
        <v>95</v>
      </c>
      <c r="AV174" s="14">
        <v>95</v>
      </c>
      <c r="AW174" s="14">
        <v>80</v>
      </c>
      <c r="AX174" s="14">
        <v>90</v>
      </c>
    </row>
    <row r="175" spans="1:50" ht="20.100000000000001" customHeight="1">
      <c r="A175" s="1">
        <v>174</v>
      </c>
      <c r="B175" s="2" t="s">
        <v>172</v>
      </c>
      <c r="C175" s="10">
        <v>1491.3954000000001</v>
      </c>
      <c r="D175" s="10">
        <v>1693.5655999999999</v>
      </c>
      <c r="E175" s="10">
        <v>1804.3414</v>
      </c>
      <c r="F175" s="10">
        <v>1450.1510000000001</v>
      </c>
      <c r="G175" s="10">
        <v>1351.4257</v>
      </c>
      <c r="H175" s="10">
        <v>725.39229999999998</v>
      </c>
      <c r="I175" s="10">
        <v>256.31677815299997</v>
      </c>
      <c r="J175" s="10">
        <v>290.828296486</v>
      </c>
      <c r="K175" s="10">
        <v>307.18467725599999</v>
      </c>
      <c r="L175" s="10">
        <v>246.33443275799999</v>
      </c>
      <c r="M175" s="10">
        <v>231.618562349</v>
      </c>
      <c r="N175" s="10">
        <v>124.5614372303</v>
      </c>
      <c r="O175" s="7">
        <v>1.1900000000000001E-2</v>
      </c>
      <c r="P175" s="7">
        <v>0.1356</v>
      </c>
      <c r="Q175" s="7">
        <v>6.54E-2</v>
      </c>
      <c r="R175" s="7">
        <v>-0.1963</v>
      </c>
      <c r="S175" s="7">
        <v>-6.8099999999999994E-2</v>
      </c>
      <c r="T175" s="7">
        <v>-0.4632</v>
      </c>
      <c r="U175" s="7">
        <v>2.3099999999999999E-2</v>
      </c>
      <c r="V175" s="7">
        <v>0.1346</v>
      </c>
      <c r="W175" s="7">
        <v>5.62E-2</v>
      </c>
      <c r="X175" s="7">
        <v>-0.1981</v>
      </c>
      <c r="Y175" s="7">
        <v>-5.9700000000000003E-2</v>
      </c>
      <c r="Z175" s="7">
        <v>-0.4622</v>
      </c>
      <c r="AA175" s="10">
        <v>3593.4763012499998</v>
      </c>
      <c r="AB175" s="10">
        <v>3878.5785532499999</v>
      </c>
      <c r="AC175" s="10">
        <v>3231.158856</v>
      </c>
      <c r="AD175" s="10">
        <v>2447.1276630000002</v>
      </c>
      <c r="AE175" s="10">
        <v>2607.4976797499999</v>
      </c>
      <c r="AF175" s="10">
        <v>3148.0040325</v>
      </c>
      <c r="AG175" s="10">
        <v>4044.88820025</v>
      </c>
      <c r="AH175" s="10">
        <v>3385.5892425000002</v>
      </c>
      <c r="AI175" s="10">
        <v>2619.3769402500002</v>
      </c>
      <c r="AJ175" s="10">
        <v>2409.0968148000002</v>
      </c>
      <c r="AK175" s="10">
        <v>2114.5083690000001</v>
      </c>
      <c r="AL175" s="10">
        <v>2726.29028475</v>
      </c>
      <c r="AM175" s="14">
        <v>50</v>
      </c>
      <c r="AN175" s="14">
        <v>50</v>
      </c>
      <c r="AO175" s="14">
        <v>50</v>
      </c>
      <c r="AP175" s="14">
        <v>50</v>
      </c>
      <c r="AQ175" s="14">
        <v>50</v>
      </c>
      <c r="AR175" s="14">
        <v>50</v>
      </c>
      <c r="AS175" s="14">
        <v>50</v>
      </c>
      <c r="AT175" s="14">
        <v>50</v>
      </c>
      <c r="AU175" s="14">
        <v>50</v>
      </c>
      <c r="AV175" s="14">
        <v>50</v>
      </c>
      <c r="AW175" s="14">
        <v>50</v>
      </c>
      <c r="AX175" s="14">
        <v>50</v>
      </c>
    </row>
    <row r="176" spans="1:50" ht="20.100000000000001" customHeight="1">
      <c r="A176" s="1">
        <v>175</v>
      </c>
      <c r="B176" s="2" t="s">
        <v>173</v>
      </c>
      <c r="C176" s="10">
        <v>928.69560000000001</v>
      </c>
      <c r="D176" s="10">
        <v>6254.5938999999998</v>
      </c>
      <c r="E176" s="10">
        <v>-362.18810000000002</v>
      </c>
      <c r="F176" s="10">
        <v>334.03620000000001</v>
      </c>
      <c r="G176" s="10">
        <v>990.55769999999995</v>
      </c>
      <c r="H176" s="10">
        <v>620.82820000000004</v>
      </c>
      <c r="I176" s="10">
        <v>295.26953266800001</v>
      </c>
      <c r="J176" s="10">
        <v>2225.261058221</v>
      </c>
      <c r="K176" s="10">
        <v>-124.684837727</v>
      </c>
      <c r="L176" s="10">
        <v>117.408565158</v>
      </c>
      <c r="M176" s="10">
        <v>453.00814444000002</v>
      </c>
      <c r="N176" s="10">
        <v>283.53538548189999</v>
      </c>
      <c r="O176" s="7">
        <v>5.6006999999999998</v>
      </c>
      <c r="P176" s="7">
        <v>5.7347999999999999</v>
      </c>
      <c r="Q176" s="7"/>
      <c r="R176" s="7"/>
      <c r="S176" s="7">
        <v>1.9654</v>
      </c>
      <c r="T176" s="7">
        <v>-0.37330000000000002</v>
      </c>
      <c r="U176" s="7">
        <v>5.2380000000000004</v>
      </c>
      <c r="V176" s="7">
        <v>6.5364000000000004</v>
      </c>
      <c r="W176" s="7"/>
      <c r="X176" s="7"/>
      <c r="Y176" s="7">
        <v>2.8584000000000001</v>
      </c>
      <c r="Z176" s="7">
        <v>-0.37409999999999999</v>
      </c>
      <c r="AA176" s="10">
        <v>6105.9953139999998</v>
      </c>
      <c r="AB176" s="10">
        <v>8501.6945099999994</v>
      </c>
      <c r="AC176" s="10">
        <v>4686.3449467999999</v>
      </c>
      <c r="AD176" s="10">
        <v>3225.1531235000002</v>
      </c>
      <c r="AE176" s="10">
        <v>4541.5421534999996</v>
      </c>
      <c r="AF176" s="10">
        <v>6489.7979179000004</v>
      </c>
      <c r="AG176" s="10">
        <v>6200.1923312999998</v>
      </c>
      <c r="AH176" s="10">
        <v>6467.3992304499998</v>
      </c>
      <c r="AI176" s="10">
        <v>5907.9356292000002</v>
      </c>
      <c r="AJ176" s="10">
        <v>7698.2191531999997</v>
      </c>
      <c r="AK176" s="10">
        <v>1299.47905752</v>
      </c>
      <c r="AL176" s="10">
        <v>2579.99802</v>
      </c>
      <c r="AM176" s="14">
        <v>65</v>
      </c>
      <c r="AN176" s="14">
        <v>65</v>
      </c>
      <c r="AO176" s="14">
        <v>75</v>
      </c>
      <c r="AP176" s="14">
        <v>75</v>
      </c>
      <c r="AQ176" s="14">
        <v>75</v>
      </c>
      <c r="AR176" s="14">
        <v>75</v>
      </c>
      <c r="AS176" s="14">
        <v>80</v>
      </c>
      <c r="AT176" s="14">
        <v>80</v>
      </c>
      <c r="AU176" s="14">
        <v>75</v>
      </c>
      <c r="AV176" s="14">
        <v>80</v>
      </c>
      <c r="AW176" s="14">
        <v>65</v>
      </c>
      <c r="AX176" s="14">
        <v>65</v>
      </c>
    </row>
    <row r="177" spans="1:50" ht="20.100000000000001" customHeight="1">
      <c r="A177" s="1">
        <v>176</v>
      </c>
      <c r="B177" s="2" t="s">
        <v>174</v>
      </c>
      <c r="C177" s="10">
        <v>2300.8598999999999</v>
      </c>
      <c r="D177" s="10">
        <v>1197.1226999999999</v>
      </c>
      <c r="E177" s="10">
        <v>4657.4634999999998</v>
      </c>
      <c r="F177" s="10">
        <v>3672.3254000000002</v>
      </c>
      <c r="G177" s="10">
        <v>5259.6984000000002</v>
      </c>
      <c r="H177" s="10">
        <v>4783.2326999999996</v>
      </c>
      <c r="I177" s="10">
        <v>873.176327464</v>
      </c>
      <c r="J177" s="10">
        <v>454.30807013899999</v>
      </c>
      <c r="K177" s="10">
        <v>1767.5070329370001</v>
      </c>
      <c r="L177" s="10">
        <v>1393.647193241</v>
      </c>
      <c r="M177" s="10">
        <v>1996.055115657</v>
      </c>
      <c r="N177" s="10">
        <v>1797.2594370625</v>
      </c>
      <c r="O177" s="7">
        <v>1.5331999999999999</v>
      </c>
      <c r="P177" s="7">
        <v>-0.47970000000000002</v>
      </c>
      <c r="Q177" s="7">
        <v>2.8904999999999998</v>
      </c>
      <c r="R177" s="7">
        <v>-0.21149999999999999</v>
      </c>
      <c r="S177" s="7">
        <v>0.43230000000000002</v>
      </c>
      <c r="T177" s="7">
        <v>-9.06E-2</v>
      </c>
      <c r="U177" s="7">
        <v>1.5331999999999999</v>
      </c>
      <c r="V177" s="7">
        <v>-0.47970000000000002</v>
      </c>
      <c r="W177" s="7">
        <v>2.8904999999999998</v>
      </c>
      <c r="X177" s="7">
        <v>-0.21149999999999999</v>
      </c>
      <c r="Y177" s="7">
        <v>0.43230000000000002</v>
      </c>
      <c r="Z177" s="7">
        <v>-9.9599999999999994E-2</v>
      </c>
      <c r="AA177" s="10">
        <v>10800</v>
      </c>
      <c r="AB177" s="10">
        <v>21780</v>
      </c>
      <c r="AC177" s="10">
        <v>16599</v>
      </c>
      <c r="AD177" s="10">
        <v>10460.997749300001</v>
      </c>
      <c r="AE177" s="10">
        <v>13991.9969896</v>
      </c>
      <c r="AF177" s="10">
        <v>17192.996300899998</v>
      </c>
      <c r="AG177" s="10">
        <v>19700.995761300001</v>
      </c>
      <c r="AH177" s="10">
        <v>18380.996045299999</v>
      </c>
      <c r="AI177" s="10">
        <v>14585.9968618</v>
      </c>
      <c r="AJ177" s="10">
        <v>15749.2011545</v>
      </c>
      <c r="AK177" s="10">
        <v>5400</v>
      </c>
      <c r="AL177" s="10">
        <v>10650</v>
      </c>
      <c r="AM177" s="14">
        <v>100</v>
      </c>
      <c r="AN177" s="14">
        <v>75</v>
      </c>
      <c r="AO177" s="14">
        <v>60</v>
      </c>
      <c r="AP177" s="14">
        <v>65</v>
      </c>
      <c r="AQ177" s="14">
        <v>65</v>
      </c>
      <c r="AR177" s="14">
        <v>70</v>
      </c>
      <c r="AS177" s="14">
        <v>60</v>
      </c>
      <c r="AT177" s="14">
        <v>60</v>
      </c>
      <c r="AU177" s="14">
        <v>60</v>
      </c>
      <c r="AV177" s="14">
        <v>60</v>
      </c>
      <c r="AW177" s="14">
        <v>100</v>
      </c>
      <c r="AX177" s="14">
        <v>100</v>
      </c>
    </row>
    <row r="178" spans="1:50" ht="20.100000000000001" customHeight="1">
      <c r="A178" s="1">
        <v>177</v>
      </c>
      <c r="B178" s="2" t="s">
        <v>175</v>
      </c>
      <c r="C178" s="10">
        <v>731.28070000000002</v>
      </c>
      <c r="D178" s="10">
        <v>1750.692</v>
      </c>
      <c r="E178" s="10">
        <v>120.9716</v>
      </c>
      <c r="F178" s="10">
        <v>-780.23209999999995</v>
      </c>
      <c r="G178" s="10"/>
      <c r="H178" s="10"/>
      <c r="I178" s="10">
        <v>393.42899999999997</v>
      </c>
      <c r="J178" s="10">
        <v>1641.9739999999999</v>
      </c>
      <c r="K178" s="10">
        <v>134.992154685</v>
      </c>
      <c r="L178" s="10">
        <v>-2801.321779724</v>
      </c>
      <c r="M178" s="10">
        <v>-722.12566246699998</v>
      </c>
      <c r="N178" s="10"/>
      <c r="O178" s="7">
        <v>-0.7359</v>
      </c>
      <c r="P178" s="7">
        <v>1.3939999999999999</v>
      </c>
      <c r="Q178" s="7">
        <v>-0.93089999999999995</v>
      </c>
      <c r="R178" s="7"/>
      <c r="S178" s="7"/>
      <c r="T178" s="7"/>
      <c r="U178" s="7">
        <v>-0.52639999999999998</v>
      </c>
      <c r="V178" s="7">
        <v>3.1735000000000002</v>
      </c>
      <c r="W178" s="7">
        <v>-0.91779999999999995</v>
      </c>
      <c r="X178" s="7"/>
      <c r="Y178" s="7">
        <v>0.74219999999999997</v>
      </c>
      <c r="Z178" s="7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4">
        <v>100</v>
      </c>
      <c r="AN178" s="14">
        <v>100</v>
      </c>
      <c r="AO178" s="14">
        <v>100</v>
      </c>
      <c r="AP178" s="14">
        <v>100</v>
      </c>
      <c r="AQ178" s="14">
        <v>100</v>
      </c>
      <c r="AR178" s="14">
        <v>100</v>
      </c>
      <c r="AS178" s="14">
        <v>100</v>
      </c>
      <c r="AT178" s="14">
        <v>100</v>
      </c>
      <c r="AU178" s="14">
        <v>100</v>
      </c>
      <c r="AV178" s="14">
        <v>100</v>
      </c>
      <c r="AW178" s="14">
        <v>100</v>
      </c>
      <c r="AX178" s="14">
        <v>100</v>
      </c>
    </row>
    <row r="179" spans="1:50" ht="20.100000000000001" customHeight="1">
      <c r="A179" s="1">
        <v>178</v>
      </c>
      <c r="B179" s="2" t="s">
        <v>176</v>
      </c>
      <c r="C179" s="10">
        <v>1277.9702</v>
      </c>
      <c r="D179" s="10">
        <v>1689.8311000000001</v>
      </c>
      <c r="E179" s="10">
        <v>1117.9947</v>
      </c>
      <c r="F179" s="10">
        <v>340.32380000000001</v>
      </c>
      <c r="G179" s="10">
        <v>1136.8733999999999</v>
      </c>
      <c r="H179" s="10">
        <v>2167.1646000000001</v>
      </c>
      <c r="I179" s="10">
        <v>512.80630333099998</v>
      </c>
      <c r="J179" s="10">
        <v>695.02024724800003</v>
      </c>
      <c r="K179" s="10">
        <v>459.82538815499998</v>
      </c>
      <c r="L179" s="10">
        <v>139.972323571</v>
      </c>
      <c r="M179" s="10">
        <v>467.582890486</v>
      </c>
      <c r="N179" s="10">
        <v>810.29890454190001</v>
      </c>
      <c r="O179" s="7">
        <v>0.59060000000000001</v>
      </c>
      <c r="P179" s="7">
        <v>0.32229999999999998</v>
      </c>
      <c r="Q179" s="7">
        <v>-0.33839999999999998</v>
      </c>
      <c r="R179" s="7">
        <v>-0.6956</v>
      </c>
      <c r="S179" s="7">
        <v>2.3405999999999998</v>
      </c>
      <c r="T179" s="7">
        <v>0.90620000000000001</v>
      </c>
      <c r="U179" s="7">
        <v>0.43330000000000002</v>
      </c>
      <c r="V179" s="7">
        <v>0.3553</v>
      </c>
      <c r="W179" s="7">
        <v>-0.33839999999999998</v>
      </c>
      <c r="X179" s="7">
        <v>-0.6956</v>
      </c>
      <c r="Y179" s="7">
        <v>2.3405</v>
      </c>
      <c r="Z179" s="7">
        <v>0.73299999999999998</v>
      </c>
      <c r="AA179" s="10">
        <v>5066.4747655000001</v>
      </c>
      <c r="AB179" s="10">
        <v>9253.5321881500004</v>
      </c>
      <c r="AC179" s="10">
        <v>9288.8061355000009</v>
      </c>
      <c r="AD179" s="10">
        <v>5462.7466403999997</v>
      </c>
      <c r="AE179" s="10">
        <v>7220.5611534</v>
      </c>
      <c r="AF179" s="10">
        <v>8956.6720703999999</v>
      </c>
      <c r="AG179" s="10">
        <v>8941.1222925000002</v>
      </c>
      <c r="AH179" s="10">
        <v>8190.0045708999996</v>
      </c>
      <c r="AI179" s="10">
        <v>7832.3624498999998</v>
      </c>
      <c r="AJ179" s="10">
        <v>9089.4745019000002</v>
      </c>
      <c r="AK179" s="10">
        <v>2668.6685747500001</v>
      </c>
      <c r="AL179" s="10">
        <v>4253.92692575</v>
      </c>
      <c r="AM179" s="14">
        <v>60</v>
      </c>
      <c r="AN179" s="14">
        <v>60</v>
      </c>
      <c r="AO179" s="14">
        <v>55</v>
      </c>
      <c r="AP179" s="14">
        <v>55</v>
      </c>
      <c r="AQ179" s="14">
        <v>60</v>
      </c>
      <c r="AR179" s="14">
        <v>60</v>
      </c>
      <c r="AS179" s="14">
        <v>75</v>
      </c>
      <c r="AT179" s="14">
        <v>75</v>
      </c>
      <c r="AU179" s="14">
        <v>60</v>
      </c>
      <c r="AV179" s="14">
        <v>65</v>
      </c>
      <c r="AW179" s="14">
        <v>65</v>
      </c>
      <c r="AX179" s="14">
        <v>60</v>
      </c>
    </row>
    <row r="180" spans="1:50" ht="20.100000000000001" customHeight="1">
      <c r="A180" s="1">
        <v>179</v>
      </c>
      <c r="B180" s="2" t="s">
        <v>177</v>
      </c>
      <c r="C180" s="10">
        <v>2499.5547000000001</v>
      </c>
      <c r="D180" s="10">
        <v>609.88720000000001</v>
      </c>
      <c r="E180" s="10">
        <v>1210.0320999999999</v>
      </c>
      <c r="F180" s="10">
        <v>624.14739999999995</v>
      </c>
      <c r="G180" s="10">
        <v>1433.2089000000001</v>
      </c>
      <c r="H180" s="10">
        <v>6159.4570000000003</v>
      </c>
      <c r="I180" s="10">
        <v>1604.670152096</v>
      </c>
      <c r="J180" s="10">
        <v>394.28891385499998</v>
      </c>
      <c r="K180" s="10">
        <v>782.27645077199998</v>
      </c>
      <c r="L180" s="10">
        <v>403.50475724299997</v>
      </c>
      <c r="M180" s="10">
        <v>926.54219157800003</v>
      </c>
      <c r="N180" s="10">
        <v>3981.8918586686</v>
      </c>
      <c r="O180" s="7">
        <v>1.5767</v>
      </c>
      <c r="P180" s="7">
        <v>-0.75600000000000001</v>
      </c>
      <c r="Q180" s="7">
        <v>0.98399999999999999</v>
      </c>
      <c r="R180" s="7">
        <v>-0.48420000000000002</v>
      </c>
      <c r="S180" s="7">
        <v>1.2963</v>
      </c>
      <c r="T180" s="7">
        <v>3.2976999999999999</v>
      </c>
      <c r="U180" s="7">
        <v>1.3474999999999999</v>
      </c>
      <c r="V180" s="7">
        <v>-0.75429999999999997</v>
      </c>
      <c r="W180" s="7">
        <v>0.98399999999999999</v>
      </c>
      <c r="X180" s="7">
        <v>-0.48420000000000002</v>
      </c>
      <c r="Y180" s="7">
        <v>1.2962</v>
      </c>
      <c r="Z180" s="7">
        <v>3.2976000000000001</v>
      </c>
      <c r="AA180" s="10">
        <v>20040.051515399999</v>
      </c>
      <c r="AB180" s="10">
        <v>22836.441794099999</v>
      </c>
      <c r="AC180" s="10">
        <v>8502.9304499999998</v>
      </c>
      <c r="AD180" s="10">
        <v>8381.4278955000009</v>
      </c>
      <c r="AE180" s="10">
        <v>11143.605966900001</v>
      </c>
      <c r="AF180" s="10">
        <v>13201.2981958</v>
      </c>
      <c r="AG180" s="10">
        <v>10924.3306085</v>
      </c>
      <c r="AH180" s="10">
        <v>10864.471262700001</v>
      </c>
      <c r="AI180" s="10">
        <v>14254.6268088</v>
      </c>
      <c r="AJ180" s="10">
        <v>15838.474232</v>
      </c>
      <c r="AK180" s="10">
        <v>11572.8196326</v>
      </c>
      <c r="AL180" s="10">
        <v>18551.132025300001</v>
      </c>
      <c r="AM180" s="14">
        <v>35</v>
      </c>
      <c r="AN180" s="14">
        <v>40</v>
      </c>
      <c r="AO180" s="14">
        <v>40</v>
      </c>
      <c r="AP180" s="14">
        <v>40</v>
      </c>
      <c r="AQ180" s="14">
        <v>40</v>
      </c>
      <c r="AR180" s="14">
        <v>55</v>
      </c>
      <c r="AS180" s="14">
        <v>55</v>
      </c>
      <c r="AT180" s="14">
        <v>55</v>
      </c>
      <c r="AU180" s="14">
        <v>55</v>
      </c>
      <c r="AV180" s="14">
        <v>55</v>
      </c>
      <c r="AW180" s="14">
        <v>14</v>
      </c>
      <c r="AX180" s="14">
        <v>45</v>
      </c>
    </row>
    <row r="181" spans="1:50" ht="20.100000000000001" customHeight="1">
      <c r="A181" s="1">
        <v>180</v>
      </c>
      <c r="B181" s="2" t="s">
        <v>178</v>
      </c>
      <c r="C181" s="10">
        <v>1538.6262999999999</v>
      </c>
      <c r="D181" s="10">
        <v>2322.8398000000002</v>
      </c>
      <c r="E181" s="10">
        <v>1416.4512</v>
      </c>
      <c r="F181" s="10">
        <v>735.01959999999997</v>
      </c>
      <c r="G181" s="10">
        <v>139.18549999999999</v>
      </c>
      <c r="H181" s="10">
        <v>529.16099999999994</v>
      </c>
      <c r="I181" s="10">
        <v>1220.323637643</v>
      </c>
      <c r="J181" s="10">
        <v>1865.0038642669999</v>
      </c>
      <c r="K181" s="10">
        <v>1137.262912956</v>
      </c>
      <c r="L181" s="10">
        <v>684.05860970900005</v>
      </c>
      <c r="M181" s="10">
        <v>155.087685811</v>
      </c>
      <c r="N181" s="10">
        <v>545.76500860880003</v>
      </c>
      <c r="O181" s="7">
        <v>0.39600000000000002</v>
      </c>
      <c r="P181" s="7">
        <v>0.50970000000000004</v>
      </c>
      <c r="Q181" s="7">
        <v>-0.39019999999999999</v>
      </c>
      <c r="R181" s="7">
        <v>-0.48110000000000003</v>
      </c>
      <c r="S181" s="7">
        <v>-0.81059999999999999</v>
      </c>
      <c r="T181" s="7">
        <v>2.8018000000000001</v>
      </c>
      <c r="U181" s="7">
        <v>0.39600000000000002</v>
      </c>
      <c r="V181" s="7">
        <v>0.52829999999999999</v>
      </c>
      <c r="W181" s="7">
        <v>-0.39019999999999999</v>
      </c>
      <c r="X181" s="7">
        <v>-0.39850000000000002</v>
      </c>
      <c r="Y181" s="7">
        <v>-0.77329999999999999</v>
      </c>
      <c r="Z181" s="7">
        <v>2.5190999999999999</v>
      </c>
      <c r="AA181" s="10">
        <v>45464.496954399998</v>
      </c>
      <c r="AB181" s="10">
        <v>46911.886403199998</v>
      </c>
      <c r="AC181" s="10">
        <v>34791.274144199997</v>
      </c>
      <c r="AD181" s="10">
        <v>9134.3885783999995</v>
      </c>
      <c r="AE181" s="10">
        <v>11283.656479200001</v>
      </c>
      <c r="AF181" s="10">
        <v>20575.881893999998</v>
      </c>
      <c r="AG181" s="10">
        <v>20693.419967099999</v>
      </c>
      <c r="AH181" s="10">
        <v>18073.9997181</v>
      </c>
      <c r="AI181" s="10">
        <v>16375.59324815</v>
      </c>
      <c r="AJ181" s="10">
        <v>22339.653841200001</v>
      </c>
      <c r="AK181" s="10">
        <v>8923.0945766999994</v>
      </c>
      <c r="AL181" s="10">
        <v>20402.749695499999</v>
      </c>
      <c r="AM181" s="14">
        <v>40</v>
      </c>
      <c r="AN181" s="14">
        <v>40</v>
      </c>
      <c r="AO181" s="14">
        <v>40</v>
      </c>
      <c r="AP181" s="14">
        <v>40</v>
      </c>
      <c r="AQ181" s="14">
        <v>45</v>
      </c>
      <c r="AR181" s="14">
        <v>50</v>
      </c>
      <c r="AS181" s="14">
        <v>45</v>
      </c>
      <c r="AT181" s="14">
        <v>50</v>
      </c>
      <c r="AU181" s="14">
        <v>50</v>
      </c>
      <c r="AV181" s="14">
        <v>60</v>
      </c>
      <c r="AW181" s="14">
        <v>40</v>
      </c>
      <c r="AX181" s="14">
        <v>40</v>
      </c>
    </row>
    <row r="182" spans="1:50" ht="20.100000000000001" customHeight="1">
      <c r="A182" s="1">
        <v>181</v>
      </c>
      <c r="B182" s="2" t="s">
        <v>179</v>
      </c>
      <c r="C182" s="10">
        <v>2027.2797</v>
      </c>
      <c r="D182" s="10">
        <v>1401.9147</v>
      </c>
      <c r="E182" s="10">
        <v>1628.0608</v>
      </c>
      <c r="F182" s="10">
        <v>2341.2260000000001</v>
      </c>
      <c r="G182" s="10">
        <v>2113.1316000000002</v>
      </c>
      <c r="H182" s="10">
        <v>2676.1844999999998</v>
      </c>
      <c r="I182" s="10">
        <v>2098.2345307330002</v>
      </c>
      <c r="J182" s="10">
        <v>1450.981675856</v>
      </c>
      <c r="K182" s="10">
        <v>1685.0429202600001</v>
      </c>
      <c r="L182" s="10">
        <v>2423.1689165419998</v>
      </c>
      <c r="M182" s="10">
        <v>2187.0911693100002</v>
      </c>
      <c r="N182" s="10">
        <v>2769.8509126083</v>
      </c>
      <c r="O182" s="7">
        <v>-0.15629999999999999</v>
      </c>
      <c r="P182" s="7">
        <v>-0.3085</v>
      </c>
      <c r="Q182" s="7">
        <v>0.1613</v>
      </c>
      <c r="R182" s="7">
        <v>0.438</v>
      </c>
      <c r="S182" s="7">
        <v>-9.74E-2</v>
      </c>
      <c r="T182" s="7">
        <v>0.26650000000000001</v>
      </c>
      <c r="U182" s="7">
        <v>-0.15629999999999999</v>
      </c>
      <c r="V182" s="7">
        <v>-0.3085</v>
      </c>
      <c r="W182" s="7">
        <v>0.1613</v>
      </c>
      <c r="X182" s="7">
        <v>0.438</v>
      </c>
      <c r="Y182" s="7">
        <v>-9.74E-2</v>
      </c>
      <c r="Z182" s="7">
        <v>0.26650000000000001</v>
      </c>
      <c r="AA182" s="10">
        <v>56304</v>
      </c>
      <c r="AB182" s="10">
        <v>66240</v>
      </c>
      <c r="AC182" s="10">
        <v>69345</v>
      </c>
      <c r="AD182" s="10">
        <v>83421</v>
      </c>
      <c r="AE182" s="10">
        <v>81972</v>
      </c>
      <c r="AF182" s="10">
        <v>65101.5</v>
      </c>
      <c r="AG182" s="10">
        <v>66033</v>
      </c>
      <c r="AH182" s="10">
        <v>73381.5</v>
      </c>
      <c r="AI182" s="10">
        <v>66447</v>
      </c>
      <c r="AJ182" s="10">
        <v>68413.5</v>
      </c>
      <c r="AK182" s="10">
        <v>27153.224999999999</v>
      </c>
      <c r="AL182" s="10">
        <v>42642</v>
      </c>
      <c r="AM182" s="14">
        <v>3</v>
      </c>
      <c r="AN182" s="14">
        <v>3</v>
      </c>
      <c r="AO182" s="14">
        <v>3</v>
      </c>
      <c r="AP182" s="14">
        <v>2</v>
      </c>
      <c r="AQ182" s="14">
        <v>4</v>
      </c>
      <c r="AR182" s="14">
        <v>4</v>
      </c>
      <c r="AS182" s="14">
        <v>4</v>
      </c>
      <c r="AT182" s="14">
        <v>4</v>
      </c>
      <c r="AU182" s="14">
        <v>4</v>
      </c>
      <c r="AV182" s="14">
        <v>4</v>
      </c>
      <c r="AW182" s="14">
        <v>3</v>
      </c>
      <c r="AX182" s="14">
        <v>3</v>
      </c>
    </row>
    <row r="183" spans="1:50" ht="20.100000000000001" customHeight="1">
      <c r="A183" s="1">
        <v>182</v>
      </c>
      <c r="B183" s="2" t="s">
        <v>180</v>
      </c>
      <c r="C183" s="10">
        <v>3181.1410999999998</v>
      </c>
      <c r="D183" s="10">
        <v>3515.2581</v>
      </c>
      <c r="E183" s="10">
        <v>6008.3450000000003</v>
      </c>
      <c r="F183" s="10">
        <v>4709.7430000000004</v>
      </c>
      <c r="G183" s="10">
        <v>4214.5888000000004</v>
      </c>
      <c r="H183" s="10">
        <v>5016.5837000000001</v>
      </c>
      <c r="I183" s="10">
        <v>7854.9559219390003</v>
      </c>
      <c r="J183" s="10">
        <v>8672.9650624599999</v>
      </c>
      <c r="K183" s="10">
        <v>14798.317219715</v>
      </c>
      <c r="L183" s="10">
        <v>11606.030646959</v>
      </c>
      <c r="M183" s="10">
        <v>10398.370049724999</v>
      </c>
      <c r="N183" s="10">
        <v>12377.0610659179</v>
      </c>
      <c r="O183" s="7">
        <v>-0.33989999999999998</v>
      </c>
      <c r="P183" s="7">
        <v>0.105</v>
      </c>
      <c r="Q183" s="7">
        <v>0.70920000000000005</v>
      </c>
      <c r="R183" s="7">
        <v>-0.21609999999999999</v>
      </c>
      <c r="S183" s="7">
        <v>-0.1051</v>
      </c>
      <c r="T183" s="7">
        <v>0.1903</v>
      </c>
      <c r="U183" s="7">
        <v>-0.34</v>
      </c>
      <c r="V183" s="7">
        <v>0.1041</v>
      </c>
      <c r="W183" s="7">
        <v>0.70630000000000004</v>
      </c>
      <c r="X183" s="7">
        <v>-0.2157</v>
      </c>
      <c r="Y183" s="7">
        <v>-0.1041</v>
      </c>
      <c r="Z183" s="7">
        <v>0.1903</v>
      </c>
      <c r="AA183" s="10">
        <v>177997.35</v>
      </c>
      <c r="AB183" s="10">
        <v>184121.99</v>
      </c>
      <c r="AC183" s="10">
        <v>221061.22500000001</v>
      </c>
      <c r="AD183" s="10">
        <v>194265.92499999999</v>
      </c>
      <c r="AE183" s="10">
        <v>177997.35</v>
      </c>
      <c r="AF183" s="10">
        <v>173403.85844849999</v>
      </c>
      <c r="AG183" s="10">
        <v>175930.27228020001</v>
      </c>
      <c r="AH183" s="10">
        <v>159536.0257839</v>
      </c>
      <c r="AI183" s="10">
        <v>158833.22390819999</v>
      </c>
      <c r="AJ183" s="10">
        <v>150085.4748232</v>
      </c>
      <c r="AK183" s="10">
        <v>132062.54999999999</v>
      </c>
      <c r="AL183" s="10">
        <v>165748.07</v>
      </c>
      <c r="AM183" s="14">
        <v>5</v>
      </c>
      <c r="AN183" s="14">
        <v>5</v>
      </c>
      <c r="AO183" s="14">
        <v>5</v>
      </c>
      <c r="AP183" s="14">
        <v>5</v>
      </c>
      <c r="AQ183" s="14">
        <v>5</v>
      </c>
      <c r="AR183" s="14">
        <v>5</v>
      </c>
      <c r="AS183" s="14">
        <v>5</v>
      </c>
      <c r="AT183" s="14">
        <v>5</v>
      </c>
      <c r="AU183" s="14">
        <v>5</v>
      </c>
      <c r="AV183" s="14">
        <v>5</v>
      </c>
      <c r="AW183" s="14">
        <v>5</v>
      </c>
      <c r="AX183" s="14">
        <v>5</v>
      </c>
    </row>
    <row r="184" spans="1:50" ht="20.100000000000001" customHeight="1">
      <c r="A184" s="1">
        <v>183</v>
      </c>
      <c r="B184" s="2" t="s">
        <v>181</v>
      </c>
      <c r="C184" s="10">
        <v>-627.66800000000001</v>
      </c>
      <c r="D184" s="10">
        <v>1428.3222000000001</v>
      </c>
      <c r="E184" s="10">
        <v>264.1114</v>
      </c>
      <c r="F184" s="10">
        <v>186.64519999999999</v>
      </c>
      <c r="G184" s="10">
        <v>279.82049999999998</v>
      </c>
      <c r="H184" s="10">
        <v>321.43169999999998</v>
      </c>
      <c r="I184" s="10">
        <v>-495.745392224</v>
      </c>
      <c r="J184" s="10">
        <v>1157.260328331</v>
      </c>
      <c r="K184" s="10">
        <v>214.869190226</v>
      </c>
      <c r="L184" s="10">
        <v>171.98328923099999</v>
      </c>
      <c r="M184" s="10">
        <v>255.93500180500001</v>
      </c>
      <c r="N184" s="10">
        <v>344.73849887609998</v>
      </c>
      <c r="O184" s="7"/>
      <c r="P184" s="7"/>
      <c r="Q184" s="7">
        <v>-0.81510000000000005</v>
      </c>
      <c r="R184" s="7">
        <v>-0.29330000000000001</v>
      </c>
      <c r="S184" s="7">
        <v>0.49919999999999998</v>
      </c>
      <c r="T184" s="7">
        <v>0.1487</v>
      </c>
      <c r="U184" s="7"/>
      <c r="V184" s="7"/>
      <c r="W184" s="7">
        <v>-0.81430000000000002</v>
      </c>
      <c r="X184" s="7">
        <v>-0.1996</v>
      </c>
      <c r="Y184" s="7">
        <v>0.48809999999999998</v>
      </c>
      <c r="Z184" s="7">
        <v>0.34699999999999998</v>
      </c>
      <c r="AA184" s="10">
        <v>12438.892344</v>
      </c>
      <c r="AB184" s="10">
        <v>20860.894670000001</v>
      </c>
      <c r="AC184" s="10">
        <v>11846.823104999999</v>
      </c>
      <c r="AD184" s="10">
        <v>7777.9018290000004</v>
      </c>
      <c r="AE184" s="10">
        <v>9058.9680126000003</v>
      </c>
      <c r="AF184" s="10">
        <v>13771.461467249999</v>
      </c>
      <c r="AG184" s="10">
        <v>11531.25496</v>
      </c>
      <c r="AH184" s="10">
        <v>11242.973586</v>
      </c>
      <c r="AI184" s="10">
        <v>17219.1427941</v>
      </c>
      <c r="AJ184" s="10">
        <v>19409.74380045</v>
      </c>
      <c r="AK184" s="10">
        <v>5810.5184704000003</v>
      </c>
      <c r="AL184" s="10">
        <v>8266.6805369499998</v>
      </c>
      <c r="AM184" s="14">
        <v>85</v>
      </c>
      <c r="AN184" s="14">
        <v>85</v>
      </c>
      <c r="AO184" s="14">
        <v>85</v>
      </c>
      <c r="AP184" s="14">
        <v>80</v>
      </c>
      <c r="AQ184" s="14">
        <v>80</v>
      </c>
      <c r="AR184" s="14">
        <v>85</v>
      </c>
      <c r="AS184" s="14">
        <v>80</v>
      </c>
      <c r="AT184" s="14">
        <v>85</v>
      </c>
      <c r="AU184" s="14">
        <v>80</v>
      </c>
      <c r="AV184" s="14">
        <v>85</v>
      </c>
      <c r="AW184" s="14">
        <v>85</v>
      </c>
      <c r="AX184" s="14">
        <v>85</v>
      </c>
    </row>
    <row r="185" spans="1:50" ht="20.100000000000001" customHeight="1">
      <c r="A185" s="1">
        <v>184</v>
      </c>
      <c r="B185" s="2" t="s">
        <v>182</v>
      </c>
      <c r="C185" s="10">
        <v>0</v>
      </c>
      <c r="D185" s="10">
        <v>938.49</v>
      </c>
      <c r="E185" s="10">
        <v>600.11400000000003</v>
      </c>
      <c r="F185" s="10">
        <v>-292.83960000000002</v>
      </c>
      <c r="G185" s="10">
        <v>242.91159999999999</v>
      </c>
      <c r="H185" s="10">
        <v>966.32069999999999</v>
      </c>
      <c r="I185" s="10">
        <v>873.25199999999995</v>
      </c>
      <c r="J185" s="10">
        <v>538.79553150900006</v>
      </c>
      <c r="K185" s="10">
        <v>344.52906764199997</v>
      </c>
      <c r="L185" s="10">
        <v>-168.12009246400001</v>
      </c>
      <c r="M185" s="10">
        <v>140.67084975700001</v>
      </c>
      <c r="N185" s="10">
        <v>559.5992246884</v>
      </c>
      <c r="O185" s="7">
        <v>0</v>
      </c>
      <c r="P185" s="7">
        <v>0</v>
      </c>
      <c r="Q185" s="7">
        <v>-0.36059999999999998</v>
      </c>
      <c r="R185" s="7"/>
      <c r="S185" s="7"/>
      <c r="T185" s="7">
        <v>2.9781</v>
      </c>
      <c r="U185" s="7">
        <v>-0.17730000000000001</v>
      </c>
      <c r="V185" s="7">
        <v>-0.38300000000000001</v>
      </c>
      <c r="W185" s="7">
        <v>-0.36059999999999998</v>
      </c>
      <c r="X185" s="7"/>
      <c r="Y185" s="7"/>
      <c r="Z185" s="7">
        <v>2.9781</v>
      </c>
      <c r="AA185" s="10"/>
      <c r="AB185" s="10">
        <v>13360.9050584</v>
      </c>
      <c r="AC185" s="10">
        <v>7579.5140792000002</v>
      </c>
      <c r="AD185" s="10">
        <v>3044.9823734400002</v>
      </c>
      <c r="AE185" s="10">
        <v>4118.8824069299999</v>
      </c>
      <c r="AF185" s="10">
        <v>4305.7734300000002</v>
      </c>
      <c r="AG185" s="10">
        <v>4100.05011792</v>
      </c>
      <c r="AH185" s="10">
        <v>4169.5424928000002</v>
      </c>
      <c r="AI185" s="10">
        <v>5159.8088348399997</v>
      </c>
      <c r="AJ185" s="10">
        <v>5906.8518647999999</v>
      </c>
      <c r="AK185" s="10"/>
      <c r="AL185" s="10"/>
      <c r="AM185" s="14">
        <v>100</v>
      </c>
      <c r="AN185" s="14">
        <v>100</v>
      </c>
      <c r="AO185" s="14">
        <v>45</v>
      </c>
      <c r="AP185" s="14">
        <v>40</v>
      </c>
      <c r="AQ185" s="14">
        <v>40</v>
      </c>
      <c r="AR185" s="14">
        <v>45</v>
      </c>
      <c r="AS185" s="14">
        <v>45</v>
      </c>
      <c r="AT185" s="14">
        <v>45</v>
      </c>
      <c r="AU185" s="14">
        <v>80</v>
      </c>
      <c r="AV185" s="14">
        <v>40</v>
      </c>
      <c r="AW185" s="14">
        <v>100</v>
      </c>
      <c r="AX185" s="14">
        <v>100</v>
      </c>
    </row>
    <row r="186" spans="1:50" ht="20.100000000000001" customHeight="1">
      <c r="A186" s="1">
        <v>185</v>
      </c>
      <c r="B186" s="2" t="s">
        <v>183</v>
      </c>
      <c r="C186" s="10">
        <v>3572.4998999999998</v>
      </c>
      <c r="D186" s="10">
        <v>2776.4187999999999</v>
      </c>
      <c r="E186" s="10">
        <v>3991.1131</v>
      </c>
      <c r="F186" s="10">
        <v>3143.2961</v>
      </c>
      <c r="G186" s="10">
        <v>3305.3802000000001</v>
      </c>
      <c r="H186" s="10">
        <v>3185.5156000000002</v>
      </c>
      <c r="I186" s="10">
        <v>4723.49686019</v>
      </c>
      <c r="J186" s="10">
        <v>3677.2523413039999</v>
      </c>
      <c r="K186" s="10">
        <v>5223.851427095</v>
      </c>
      <c r="L186" s="10">
        <v>4117.6050686879998</v>
      </c>
      <c r="M186" s="10">
        <v>4330.113031371</v>
      </c>
      <c r="N186" s="10">
        <v>4173.0868778383001</v>
      </c>
      <c r="O186" s="7">
        <v>-3.8899999999999997E-2</v>
      </c>
      <c r="P186" s="7">
        <v>-0.2228</v>
      </c>
      <c r="Q186" s="7">
        <v>0.4375</v>
      </c>
      <c r="R186" s="7">
        <v>-0.21240000000000001</v>
      </c>
      <c r="S186" s="7">
        <v>5.16E-2</v>
      </c>
      <c r="T186" s="7">
        <v>-3.6299999999999999E-2</v>
      </c>
      <c r="U186" s="7">
        <v>-6.5299999999999997E-2</v>
      </c>
      <c r="V186" s="7">
        <v>-0.2215</v>
      </c>
      <c r="W186" s="7">
        <v>0.42059999999999997</v>
      </c>
      <c r="X186" s="7">
        <v>-0.21179999999999999</v>
      </c>
      <c r="Y186" s="7">
        <v>5.16E-2</v>
      </c>
      <c r="Z186" s="7">
        <v>-3.6299999999999999E-2</v>
      </c>
      <c r="AA186" s="10">
        <v>108440.6485526</v>
      </c>
      <c r="AB186" s="10">
        <v>96833.459086000003</v>
      </c>
      <c r="AC186" s="10">
        <v>99142.071355599997</v>
      </c>
      <c r="AD186" s="10">
        <v>107029.82994339999</v>
      </c>
      <c r="AE186" s="10">
        <v>98500.790169600004</v>
      </c>
      <c r="AF186" s="10">
        <v>80801.429436000006</v>
      </c>
      <c r="AG186" s="10">
        <v>76953.742320000005</v>
      </c>
      <c r="AH186" s="10">
        <v>71182.211645999996</v>
      </c>
      <c r="AI186" s="10">
        <v>60280.431484000001</v>
      </c>
      <c r="AJ186" s="10">
        <v>60280.431484000001</v>
      </c>
      <c r="AK186" s="10">
        <v>100681.146202</v>
      </c>
      <c r="AL186" s="10">
        <v>125049.83127</v>
      </c>
      <c r="AM186" s="14">
        <v>11</v>
      </c>
      <c r="AN186" s="14">
        <v>11</v>
      </c>
      <c r="AO186" s="14">
        <v>11</v>
      </c>
      <c r="AP186" s="14">
        <v>11</v>
      </c>
      <c r="AQ186" s="14">
        <v>11</v>
      </c>
      <c r="AR186" s="14">
        <v>11</v>
      </c>
      <c r="AS186" s="14">
        <v>11</v>
      </c>
      <c r="AT186" s="14">
        <v>11</v>
      </c>
      <c r="AU186" s="14">
        <v>11</v>
      </c>
      <c r="AV186" s="14">
        <v>11</v>
      </c>
      <c r="AW186" s="14">
        <v>11</v>
      </c>
      <c r="AX186" s="14">
        <v>11</v>
      </c>
    </row>
    <row r="187" spans="1:50" ht="20.100000000000001" customHeight="1">
      <c r="A187" s="1">
        <v>186</v>
      </c>
      <c r="B187" s="2" t="s">
        <v>184</v>
      </c>
      <c r="C187" s="10">
        <v>2388.3937999999998</v>
      </c>
      <c r="D187" s="10">
        <v>2427.0663</v>
      </c>
      <c r="E187" s="10">
        <v>1274.1027999999999</v>
      </c>
      <c r="F187" s="10">
        <v>1094.3208999999999</v>
      </c>
      <c r="G187" s="10">
        <v>1172.3798999999999</v>
      </c>
      <c r="H187" s="10">
        <v>1391.4301</v>
      </c>
      <c r="I187" s="10">
        <v>834.86587730199994</v>
      </c>
      <c r="J187" s="10">
        <v>1070.826325922</v>
      </c>
      <c r="K187" s="10">
        <v>556.27371043999995</v>
      </c>
      <c r="L187" s="10">
        <v>483.73640157300002</v>
      </c>
      <c r="M187" s="10">
        <v>517.89470864099997</v>
      </c>
      <c r="N187" s="10">
        <v>710.64727293589999</v>
      </c>
      <c r="O187" s="7">
        <v>-0.13619999999999999</v>
      </c>
      <c r="P187" s="7">
        <v>1.6199999999999999E-2</v>
      </c>
      <c r="Q187" s="7">
        <v>-0.47499999999999998</v>
      </c>
      <c r="R187" s="7">
        <v>-0.1411</v>
      </c>
      <c r="S187" s="7">
        <v>7.1300000000000002E-2</v>
      </c>
      <c r="T187" s="7">
        <v>0.18679999999999999</v>
      </c>
      <c r="U187" s="7">
        <v>-0.13089999999999999</v>
      </c>
      <c r="V187" s="7">
        <v>0.28260000000000002</v>
      </c>
      <c r="W187" s="7">
        <v>-0.48049999999999998</v>
      </c>
      <c r="X187" s="7">
        <v>-0.13039999999999999</v>
      </c>
      <c r="Y187" s="7">
        <v>7.0599999999999996E-2</v>
      </c>
      <c r="Z187" s="7">
        <v>0.37219999999999998</v>
      </c>
      <c r="AA187" s="10">
        <v>11125.55574</v>
      </c>
      <c r="AB187" s="10">
        <v>24584.748834599999</v>
      </c>
      <c r="AC187" s="10">
        <v>13709.252465400001</v>
      </c>
      <c r="AD187" s="10">
        <v>11906.489299999999</v>
      </c>
      <c r="AE187" s="10">
        <v>12674.6499</v>
      </c>
      <c r="AF187" s="10">
        <v>14102.09431215</v>
      </c>
      <c r="AG187" s="10">
        <v>15929.787299400001</v>
      </c>
      <c r="AH187" s="10">
        <v>14063.616565050001</v>
      </c>
      <c r="AI187" s="10">
        <v>15056.4443864</v>
      </c>
      <c r="AJ187" s="10">
        <v>17612.574252900002</v>
      </c>
      <c r="AK187" s="10">
        <v>6117.7130875000003</v>
      </c>
      <c r="AL187" s="10">
        <v>8120.4844700000003</v>
      </c>
      <c r="AM187" s="14">
        <v>65</v>
      </c>
      <c r="AN187" s="14">
        <v>50</v>
      </c>
      <c r="AO187" s="14">
        <v>55</v>
      </c>
      <c r="AP187" s="14">
        <v>65</v>
      </c>
      <c r="AQ187" s="14">
        <v>70</v>
      </c>
      <c r="AR187" s="14">
        <v>65</v>
      </c>
      <c r="AS187" s="14">
        <v>70</v>
      </c>
      <c r="AT187" s="14">
        <v>75</v>
      </c>
      <c r="AU187" s="14">
        <v>80</v>
      </c>
      <c r="AV187" s="14">
        <v>80</v>
      </c>
      <c r="AW187" s="14">
        <v>60</v>
      </c>
      <c r="AX187" s="14">
        <v>55</v>
      </c>
    </row>
    <row r="188" spans="1:50" ht="20.100000000000001" customHeight="1">
      <c r="A188" s="1">
        <v>187</v>
      </c>
      <c r="B188" s="2" t="s">
        <v>185</v>
      </c>
      <c r="C188" s="10">
        <v>357.68169999999998</v>
      </c>
      <c r="D188" s="10">
        <v>1441.2421999999999</v>
      </c>
      <c r="E188" s="10">
        <v>1988.4590000000001</v>
      </c>
      <c r="F188" s="10">
        <v>2645.5003999999999</v>
      </c>
      <c r="G188" s="10">
        <v>497.55290000000002</v>
      </c>
      <c r="H188" s="10">
        <v>1869.3117999999999</v>
      </c>
      <c r="I188" s="10">
        <v>224.03283448799999</v>
      </c>
      <c r="J188" s="10">
        <v>1094.8828881699999</v>
      </c>
      <c r="K188" s="10">
        <v>1526.351079824</v>
      </c>
      <c r="L188" s="10">
        <v>2030.6993603190001</v>
      </c>
      <c r="M188" s="10">
        <v>381.92411626400002</v>
      </c>
      <c r="N188" s="10">
        <v>1760.4337521595</v>
      </c>
      <c r="O188" s="7">
        <v>-0.75609999999999999</v>
      </c>
      <c r="P188" s="7">
        <v>3.0293999999999999</v>
      </c>
      <c r="Q188" s="7">
        <v>0.37969999999999998</v>
      </c>
      <c r="R188" s="7">
        <v>0.33040000000000003</v>
      </c>
      <c r="S188" s="7">
        <v>-0.81189999999999996</v>
      </c>
      <c r="T188" s="7">
        <v>2.7570000000000001</v>
      </c>
      <c r="U188" s="7">
        <v>-0.75609999999999999</v>
      </c>
      <c r="V188" s="7">
        <v>3.8872</v>
      </c>
      <c r="W188" s="7">
        <v>0.39410000000000001</v>
      </c>
      <c r="X188" s="7">
        <v>0.33040000000000003</v>
      </c>
      <c r="Y188" s="7">
        <v>-0.81189999999999996</v>
      </c>
      <c r="Z188" s="7">
        <v>3.6093999999999999</v>
      </c>
      <c r="AA188" s="10">
        <v>18038.791257600002</v>
      </c>
      <c r="AB188" s="10">
        <v>34641.419491200002</v>
      </c>
      <c r="AC188" s="10">
        <v>25100.6756193</v>
      </c>
      <c r="AD188" s="10">
        <v>18576.035167800001</v>
      </c>
      <c r="AE188" s="10">
        <v>22529.199676650001</v>
      </c>
      <c r="AF188" s="10">
        <v>24371.45109825</v>
      </c>
      <c r="AG188" s="10">
        <v>22260.538011000001</v>
      </c>
      <c r="AH188" s="10">
        <v>20878.849444799998</v>
      </c>
      <c r="AI188" s="10">
        <v>25191.939803249999</v>
      </c>
      <c r="AJ188" s="10">
        <v>32443.45144755</v>
      </c>
      <c r="AK188" s="10">
        <v>6506.17861765</v>
      </c>
      <c r="AL188" s="10">
        <v>11462.1486116</v>
      </c>
      <c r="AM188" s="14">
        <v>70</v>
      </c>
      <c r="AN188" s="14">
        <v>75</v>
      </c>
      <c r="AO188" s="14">
        <v>60</v>
      </c>
      <c r="AP188" s="14">
        <v>60</v>
      </c>
      <c r="AQ188" s="14">
        <v>70</v>
      </c>
      <c r="AR188" s="14">
        <v>75</v>
      </c>
      <c r="AS188" s="14">
        <v>75</v>
      </c>
      <c r="AT188" s="14">
        <v>70</v>
      </c>
      <c r="AU188" s="14">
        <v>65</v>
      </c>
      <c r="AV188" s="14">
        <v>55</v>
      </c>
      <c r="AW188" s="14">
        <v>75</v>
      </c>
      <c r="AX188" s="14">
        <v>70</v>
      </c>
    </row>
    <row r="189" spans="1:50" ht="20.100000000000001" customHeight="1">
      <c r="A189" s="1">
        <v>188</v>
      </c>
      <c r="B189" s="2" t="s">
        <v>186</v>
      </c>
      <c r="C189" s="10">
        <v>335.48680000000002</v>
      </c>
      <c r="D189" s="10">
        <v>35.175699999999999</v>
      </c>
      <c r="E189" s="10">
        <v>-185.19970000000001</v>
      </c>
      <c r="F189" s="10">
        <v>1052.0836999999999</v>
      </c>
      <c r="G189" s="10">
        <v>1255.4001000000001</v>
      </c>
      <c r="H189" s="10">
        <v>1654.1726000000001</v>
      </c>
      <c r="I189" s="10">
        <v>186.49420010700001</v>
      </c>
      <c r="J189" s="10">
        <v>19.553861685000001</v>
      </c>
      <c r="K189" s="10">
        <v>-102.94879368399999</v>
      </c>
      <c r="L189" s="10">
        <v>584.83227987600003</v>
      </c>
      <c r="M189" s="10">
        <v>697.85181397300005</v>
      </c>
      <c r="N189" s="10">
        <v>919.52149012940004</v>
      </c>
      <c r="O189" s="7">
        <v>-4.7E-2</v>
      </c>
      <c r="P189" s="7">
        <v>-0.8952</v>
      </c>
      <c r="Q189" s="7"/>
      <c r="R189" s="7"/>
      <c r="S189" s="7">
        <v>0.1933</v>
      </c>
      <c r="T189" s="7">
        <v>0.31759999999999999</v>
      </c>
      <c r="U189" s="7">
        <v>1.0999999999999999E-2</v>
      </c>
      <c r="V189" s="7">
        <v>-0.8952</v>
      </c>
      <c r="W189" s="7"/>
      <c r="X189" s="7"/>
      <c r="Y189" s="7">
        <v>0.1933</v>
      </c>
      <c r="Z189" s="7">
        <v>0.31759999999999999</v>
      </c>
      <c r="AA189" s="10">
        <v>9264.8553580000007</v>
      </c>
      <c r="AB189" s="10">
        <v>12486.498243849999</v>
      </c>
      <c r="AC189" s="10">
        <v>8388.8234460000003</v>
      </c>
      <c r="AD189" s="10">
        <v>9922.4581070999993</v>
      </c>
      <c r="AE189" s="10">
        <v>13619.060147</v>
      </c>
      <c r="AF189" s="10">
        <v>15731.4041698</v>
      </c>
      <c r="AG189" s="10">
        <v>16009.3441728</v>
      </c>
      <c r="AH189" s="10">
        <v>13007.5921404</v>
      </c>
      <c r="AI189" s="10">
        <v>11145.394120299999</v>
      </c>
      <c r="AJ189" s="10">
        <v>14480.6741563</v>
      </c>
      <c r="AK189" s="10">
        <v>4202.8752942199999</v>
      </c>
      <c r="AL189" s="10">
        <v>6822.3025817999996</v>
      </c>
      <c r="AM189" s="14">
        <v>50</v>
      </c>
      <c r="AN189" s="14">
        <v>50</v>
      </c>
      <c r="AO189" s="14">
        <v>50</v>
      </c>
      <c r="AP189" s="14">
        <v>50</v>
      </c>
      <c r="AQ189" s="14">
        <v>45</v>
      </c>
      <c r="AR189" s="14">
        <v>45</v>
      </c>
      <c r="AS189" s="14">
        <v>50</v>
      </c>
      <c r="AT189" s="14">
        <v>50</v>
      </c>
      <c r="AU189" s="14">
        <v>50</v>
      </c>
      <c r="AV189" s="14">
        <v>50</v>
      </c>
      <c r="AW189" s="14">
        <v>50</v>
      </c>
      <c r="AX189" s="14">
        <v>50</v>
      </c>
    </row>
    <row r="190" spans="1:50" ht="20.100000000000001" customHeight="1">
      <c r="A190" s="1">
        <v>189</v>
      </c>
      <c r="B190" s="2" t="s">
        <v>187</v>
      </c>
      <c r="C190" s="10">
        <v>71.368600000000001</v>
      </c>
      <c r="D190" s="10">
        <v>593.89089999999999</v>
      </c>
      <c r="E190" s="10">
        <v>784.43299999999999</v>
      </c>
      <c r="F190" s="10">
        <v>1316.1703</v>
      </c>
      <c r="G190" s="10">
        <v>1494.5920000000001</v>
      </c>
      <c r="H190" s="10"/>
      <c r="I190" s="10">
        <v>8.0544051319999994</v>
      </c>
      <c r="J190" s="10">
        <v>67.024386617999994</v>
      </c>
      <c r="K190" s="10">
        <v>88.528279022000007</v>
      </c>
      <c r="L190" s="10">
        <v>148.53824231199999</v>
      </c>
      <c r="M190" s="10">
        <v>168.674268388</v>
      </c>
      <c r="N190" s="10"/>
      <c r="O190" s="7">
        <v>2.3407</v>
      </c>
      <c r="P190" s="7">
        <v>7.3215000000000003</v>
      </c>
      <c r="Q190" s="7">
        <v>0.32079999999999997</v>
      </c>
      <c r="R190" s="7">
        <v>0.67789999999999995</v>
      </c>
      <c r="S190" s="7">
        <v>0.1356</v>
      </c>
      <c r="T190" s="7"/>
      <c r="U190" s="7">
        <v>2.3407</v>
      </c>
      <c r="V190" s="7">
        <v>7.3215000000000003</v>
      </c>
      <c r="W190" s="7">
        <v>0.32079999999999997</v>
      </c>
      <c r="X190" s="7">
        <v>0.67789999999999995</v>
      </c>
      <c r="Y190" s="7">
        <v>0.1356</v>
      </c>
      <c r="Z190" s="7"/>
      <c r="AA190" s="10">
        <v>1602.56088</v>
      </c>
      <c r="AB190" s="10">
        <v>2381.2700399999999</v>
      </c>
      <c r="AC190" s="10">
        <v>1478.41884</v>
      </c>
      <c r="AD190" s="10">
        <v>846.423</v>
      </c>
      <c r="AE190" s="10">
        <v>1252.70604</v>
      </c>
      <c r="AF190" s="10">
        <v>1579.9896000000001</v>
      </c>
      <c r="AG190" s="10">
        <v>2539.2689999999998</v>
      </c>
      <c r="AH190" s="10">
        <v>2415.1269600000001</v>
      </c>
      <c r="AI190" s="10">
        <v>2392.5556799999999</v>
      </c>
      <c r="AJ190" s="10">
        <v>1907.27316</v>
      </c>
      <c r="AK190" s="10">
        <v>665.85275999999999</v>
      </c>
      <c r="AL190" s="10">
        <v>914.13684000000001</v>
      </c>
      <c r="AM190" s="14">
        <v>100</v>
      </c>
      <c r="AN190" s="14">
        <v>35</v>
      </c>
      <c r="AO190" s="14">
        <v>30</v>
      </c>
      <c r="AP190" s="14">
        <v>30</v>
      </c>
      <c r="AQ190" s="14">
        <v>30</v>
      </c>
      <c r="AR190" s="14">
        <v>35</v>
      </c>
      <c r="AS190" s="14">
        <v>30</v>
      </c>
      <c r="AT190" s="14">
        <v>30</v>
      </c>
      <c r="AU190" s="14">
        <v>30</v>
      </c>
      <c r="AV190" s="14">
        <v>35</v>
      </c>
      <c r="AW190" s="14">
        <v>100</v>
      </c>
      <c r="AX190" s="14">
        <v>100</v>
      </c>
    </row>
    <row r="191" spans="1:50" ht="20.100000000000001" customHeight="1">
      <c r="A191" s="1">
        <v>190</v>
      </c>
      <c r="B191" s="2" t="s">
        <v>188</v>
      </c>
      <c r="C191" s="10">
        <v>350.99740000000003</v>
      </c>
      <c r="D191" s="10">
        <v>500.16090000000003</v>
      </c>
      <c r="E191" s="10">
        <v>2003.6886999999999</v>
      </c>
      <c r="F191" s="10">
        <v>211.46209999999999</v>
      </c>
      <c r="G191" s="10">
        <v>221.3305</v>
      </c>
      <c r="H191" s="10">
        <v>360.4896</v>
      </c>
      <c r="I191" s="10">
        <v>95.883351351000002</v>
      </c>
      <c r="J191" s="10">
        <v>136.63094810600001</v>
      </c>
      <c r="K191" s="10">
        <v>547.35566208900002</v>
      </c>
      <c r="L191" s="10">
        <v>57.765947119000003</v>
      </c>
      <c r="M191" s="10">
        <v>60.461528542000003</v>
      </c>
      <c r="N191" s="10">
        <v>98.476025823200004</v>
      </c>
      <c r="O191" s="7">
        <v>-0.69359999999999999</v>
      </c>
      <c r="P191" s="7">
        <v>0.42499999999999999</v>
      </c>
      <c r="Q191" s="7">
        <v>3.0061</v>
      </c>
      <c r="R191" s="7">
        <v>-0.89449999999999996</v>
      </c>
      <c r="S191" s="7">
        <v>4.6699999999999998E-2</v>
      </c>
      <c r="T191" s="7">
        <v>0.62870000000000004</v>
      </c>
      <c r="U191" s="7">
        <v>-0.69359999999999999</v>
      </c>
      <c r="V191" s="7">
        <v>0.42499999999999999</v>
      </c>
      <c r="W191" s="7">
        <v>3.0061</v>
      </c>
      <c r="X191" s="7">
        <v>-0.89449999999999996</v>
      </c>
      <c r="Y191" s="7">
        <v>4.6699999999999998E-2</v>
      </c>
      <c r="Z191" s="7">
        <v>0.62870000000000004</v>
      </c>
      <c r="AA191" s="10">
        <v>1520.66598144</v>
      </c>
      <c r="AB191" s="10">
        <v>3642.3137280000001</v>
      </c>
      <c r="AC191" s="10">
        <v>4848.8301504000001</v>
      </c>
      <c r="AD191" s="10">
        <v>2481.3262272000002</v>
      </c>
      <c r="AE191" s="10">
        <v>2925.2332127999998</v>
      </c>
      <c r="AF191" s="10">
        <v>2663.4419136000001</v>
      </c>
      <c r="AG191" s="10">
        <v>2561.0018399999999</v>
      </c>
      <c r="AH191" s="10">
        <v>2248.21105764</v>
      </c>
      <c r="AI191" s="10">
        <v>1977.7701163199999</v>
      </c>
      <c r="AJ191" s="10">
        <v>2048.7950099999998</v>
      </c>
      <c r="AK191" s="10">
        <v>915.13132415999996</v>
      </c>
      <c r="AL191" s="10">
        <v>1670.91142272</v>
      </c>
      <c r="AM191" s="14">
        <v>45</v>
      </c>
      <c r="AN191" s="14">
        <v>45</v>
      </c>
      <c r="AO191" s="14">
        <v>45</v>
      </c>
      <c r="AP191" s="14">
        <v>45</v>
      </c>
      <c r="AQ191" s="14">
        <v>45</v>
      </c>
      <c r="AR191" s="14">
        <v>45</v>
      </c>
      <c r="AS191" s="14">
        <v>45</v>
      </c>
      <c r="AT191" s="14">
        <v>45</v>
      </c>
      <c r="AU191" s="14">
        <v>45</v>
      </c>
      <c r="AV191" s="14">
        <v>45</v>
      </c>
      <c r="AW191" s="14">
        <v>45</v>
      </c>
      <c r="AX191" s="14">
        <v>45</v>
      </c>
    </row>
    <row r="192" spans="1:50" ht="20.100000000000001" customHeight="1">
      <c r="A192" s="1">
        <v>191</v>
      </c>
      <c r="B192" s="2" t="s">
        <v>189</v>
      </c>
      <c r="C192" s="10">
        <v>2535.9618999999998</v>
      </c>
      <c r="D192" s="10">
        <v>6831.1332000000002</v>
      </c>
      <c r="E192" s="10">
        <v>-1716.3942999999999</v>
      </c>
      <c r="F192" s="10">
        <v>1293.0790999999999</v>
      </c>
      <c r="G192" s="10">
        <v>913.00400000000002</v>
      </c>
      <c r="H192" s="10">
        <v>1201.7353000000001</v>
      </c>
      <c r="I192" s="10">
        <v>1543.4259493080001</v>
      </c>
      <c r="J192" s="10">
        <v>4379.1268171749998</v>
      </c>
      <c r="K192" s="10">
        <v>-1068.113902805</v>
      </c>
      <c r="L192" s="10">
        <v>813.60135538500003</v>
      </c>
      <c r="M192" s="10">
        <v>576.80963255999995</v>
      </c>
      <c r="N192" s="10">
        <v>746.25596435069997</v>
      </c>
      <c r="O192" s="7">
        <v>2.1282000000000001</v>
      </c>
      <c r="P192" s="7">
        <v>1.6937</v>
      </c>
      <c r="Q192" s="7"/>
      <c r="R192" s="7"/>
      <c r="S192" s="7">
        <v>-0.29389999999999999</v>
      </c>
      <c r="T192" s="7">
        <v>0.31619999999999998</v>
      </c>
      <c r="U192" s="7">
        <v>2.1511</v>
      </c>
      <c r="V192" s="7">
        <v>1.8372999999999999</v>
      </c>
      <c r="W192" s="7"/>
      <c r="X192" s="7"/>
      <c r="Y192" s="7">
        <v>-0.29099999999999998</v>
      </c>
      <c r="Z192" s="7">
        <v>0.29380000000000001</v>
      </c>
      <c r="AA192" s="10">
        <v>20492.531442399999</v>
      </c>
      <c r="AB192" s="10">
        <v>18456.2229104</v>
      </c>
      <c r="AC192" s="10">
        <v>7945.0585256000004</v>
      </c>
      <c r="AD192" s="10">
        <v>6907.5350883000001</v>
      </c>
      <c r="AE192" s="10">
        <v>10133.144645750001</v>
      </c>
      <c r="AF192" s="10">
        <v>14044.3966452</v>
      </c>
      <c r="AG192" s="10">
        <v>14721.9771851</v>
      </c>
      <c r="AH192" s="10">
        <v>11457.12360105</v>
      </c>
      <c r="AI192" s="10">
        <v>10308.3063294</v>
      </c>
      <c r="AJ192" s="10">
        <v>10742.9939457</v>
      </c>
      <c r="AK192" s="10">
        <v>5088.1431338499997</v>
      </c>
      <c r="AL192" s="10">
        <v>9841.2032029500006</v>
      </c>
      <c r="AM192" s="14">
        <v>80</v>
      </c>
      <c r="AN192" s="14">
        <v>80</v>
      </c>
      <c r="AO192" s="14">
        <v>80</v>
      </c>
      <c r="AP192" s="14">
        <v>80</v>
      </c>
      <c r="AQ192" s="14">
        <v>85</v>
      </c>
      <c r="AR192" s="14">
        <v>85</v>
      </c>
      <c r="AS192" s="14">
        <v>85</v>
      </c>
      <c r="AT192" s="14">
        <v>85</v>
      </c>
      <c r="AU192" s="14">
        <v>75</v>
      </c>
      <c r="AV192" s="14">
        <v>70</v>
      </c>
      <c r="AW192" s="14">
        <v>60</v>
      </c>
      <c r="AX192" s="14">
        <v>70</v>
      </c>
    </row>
    <row r="193" spans="1:50" ht="20.100000000000001" customHeight="1">
      <c r="A193" s="1">
        <v>192</v>
      </c>
      <c r="B193" s="2" t="s">
        <v>190</v>
      </c>
      <c r="C193" s="10">
        <v>1092.2763</v>
      </c>
      <c r="D193" s="10">
        <v>1198.1559999999999</v>
      </c>
      <c r="E193" s="10">
        <v>2070.0612999999998</v>
      </c>
      <c r="F193" s="10">
        <v>2147.5590000000002</v>
      </c>
      <c r="G193" s="10">
        <v>2238.1795000000002</v>
      </c>
      <c r="H193" s="10">
        <v>2785.1623</v>
      </c>
      <c r="I193" s="10">
        <v>623.99608296500003</v>
      </c>
      <c r="J193" s="10">
        <v>674.60299956699998</v>
      </c>
      <c r="K193" s="10">
        <v>989.41951945300002</v>
      </c>
      <c r="L193" s="10">
        <v>1026.4608214</v>
      </c>
      <c r="M193" s="10">
        <v>1069.773701196</v>
      </c>
      <c r="N193" s="10">
        <v>1331.2128995794999</v>
      </c>
      <c r="O193" s="7">
        <v>-0.43919999999999998</v>
      </c>
      <c r="P193" s="7">
        <v>9.69E-2</v>
      </c>
      <c r="Q193" s="7">
        <v>0.72770000000000001</v>
      </c>
      <c r="R193" s="7">
        <v>3.7400000000000003E-2</v>
      </c>
      <c r="S193" s="7">
        <v>4.2200000000000001E-2</v>
      </c>
      <c r="T193" s="7">
        <v>0.24440000000000001</v>
      </c>
      <c r="U193" s="7">
        <v>-0.39579999999999999</v>
      </c>
      <c r="V193" s="7">
        <v>8.1100000000000005E-2</v>
      </c>
      <c r="W193" s="7">
        <v>0.4667</v>
      </c>
      <c r="X193" s="7">
        <v>3.7400000000000003E-2</v>
      </c>
      <c r="Y193" s="7">
        <v>4.2200000000000001E-2</v>
      </c>
      <c r="Z193" s="7">
        <v>0.24440000000000001</v>
      </c>
      <c r="AA193" s="10">
        <v>13765.429152000001</v>
      </c>
      <c r="AB193" s="10">
        <v>13048.479717</v>
      </c>
      <c r="AC193" s="10">
        <v>11423.394331</v>
      </c>
      <c r="AD193" s="10">
        <v>10228.478606000001</v>
      </c>
      <c r="AE193" s="10">
        <v>15486.107796</v>
      </c>
      <c r="AF193" s="10">
        <v>18162.71902</v>
      </c>
      <c r="AG193" s="10">
        <v>19405.431374</v>
      </c>
      <c r="AH193" s="10">
        <v>16203.057231000001</v>
      </c>
      <c r="AI193" s="10">
        <v>15725.090941</v>
      </c>
      <c r="AJ193" s="10">
        <v>16537.633634000002</v>
      </c>
      <c r="AK193" s="10">
        <v>5687.7988509999996</v>
      </c>
      <c r="AL193" s="10">
        <v>8507.7999619999991</v>
      </c>
      <c r="AM193" s="14">
        <v>50</v>
      </c>
      <c r="AN193" s="14">
        <v>50</v>
      </c>
      <c r="AO193" s="14">
        <v>50</v>
      </c>
      <c r="AP193" s="14">
        <v>50</v>
      </c>
      <c r="AQ193" s="14">
        <v>50</v>
      </c>
      <c r="AR193" s="14">
        <v>50</v>
      </c>
      <c r="AS193" s="14">
        <v>50</v>
      </c>
      <c r="AT193" s="14">
        <v>50</v>
      </c>
      <c r="AU193" s="14">
        <v>50</v>
      </c>
      <c r="AV193" s="14">
        <v>50</v>
      </c>
      <c r="AW193" s="14">
        <v>50</v>
      </c>
      <c r="AX193" s="14">
        <v>50</v>
      </c>
    </row>
    <row r="194" spans="1:50" ht="20.100000000000001" customHeight="1">
      <c r="A194" s="1">
        <v>193</v>
      </c>
      <c r="B194" s="2" t="s">
        <v>191</v>
      </c>
      <c r="C194" s="10">
        <v>1048.204</v>
      </c>
      <c r="D194" s="10">
        <v>578.48810000000003</v>
      </c>
      <c r="E194" s="10">
        <v>1221.6850999999999</v>
      </c>
      <c r="F194" s="10">
        <v>1940.1333999999999</v>
      </c>
      <c r="G194" s="10">
        <v>1802.9078999999999</v>
      </c>
      <c r="H194" s="10">
        <v>2902.3150999999998</v>
      </c>
      <c r="I194" s="10">
        <v>2381.855</v>
      </c>
      <c r="J194" s="10">
        <v>1314.51</v>
      </c>
      <c r="K194" s="10">
        <v>2776.0569999999998</v>
      </c>
      <c r="L194" s="10">
        <v>4408.6000000000004</v>
      </c>
      <c r="M194" s="10">
        <v>4095.78</v>
      </c>
      <c r="N194" s="10">
        <v>6593.9829007797998</v>
      </c>
      <c r="O194" s="7">
        <v>-0.16470000000000001</v>
      </c>
      <c r="P194" s="7">
        <v>-0.4481</v>
      </c>
      <c r="Q194" s="7">
        <v>1.1119000000000001</v>
      </c>
      <c r="R194" s="7">
        <v>0.58809999999999996</v>
      </c>
      <c r="S194" s="7">
        <v>-7.0699999999999999E-2</v>
      </c>
      <c r="T194" s="7">
        <v>0.60980000000000001</v>
      </c>
      <c r="U194" s="7">
        <v>-0.16470000000000001</v>
      </c>
      <c r="V194" s="7">
        <v>-0.4481</v>
      </c>
      <c r="W194" s="7">
        <v>1.1119000000000001</v>
      </c>
      <c r="X194" s="7">
        <v>0.58809999999999996</v>
      </c>
      <c r="Y194" s="7">
        <v>-7.0999999999999994E-2</v>
      </c>
      <c r="Z194" s="7">
        <v>0.6099</v>
      </c>
      <c r="AA194" s="10">
        <v>72146.109517499994</v>
      </c>
      <c r="AB194" s="10">
        <v>68396.784140999996</v>
      </c>
      <c r="AC194" s="10">
        <v>64874.6906055</v>
      </c>
      <c r="AD194" s="10">
        <v>59761.974182999998</v>
      </c>
      <c r="AE194" s="10">
        <v>60898.133388000002</v>
      </c>
      <c r="AF194" s="10">
        <v>52945.018952999999</v>
      </c>
      <c r="AG194" s="10">
        <v>46468.9114845</v>
      </c>
      <c r="AH194" s="10">
        <v>38970.260731499999</v>
      </c>
      <c r="AI194" s="10">
        <v>56012.648806500001</v>
      </c>
      <c r="AJ194" s="10">
        <v>71805.261756000007</v>
      </c>
      <c r="AK194" s="10">
        <v>56353.496568000002</v>
      </c>
      <c r="AL194" s="10">
        <v>71350.798074000006</v>
      </c>
      <c r="AM194" s="14">
        <v>40</v>
      </c>
      <c r="AN194" s="14">
        <v>40</v>
      </c>
      <c r="AO194" s="14">
        <v>40</v>
      </c>
      <c r="AP194" s="14">
        <v>40</v>
      </c>
      <c r="AQ194" s="14">
        <v>40</v>
      </c>
      <c r="AR194" s="14">
        <v>40</v>
      </c>
      <c r="AS194" s="14">
        <v>40</v>
      </c>
      <c r="AT194" s="14">
        <v>40</v>
      </c>
      <c r="AU194" s="14">
        <v>40</v>
      </c>
      <c r="AV194" s="14">
        <v>40</v>
      </c>
      <c r="AW194" s="14">
        <v>40</v>
      </c>
      <c r="AX194" s="14">
        <v>40</v>
      </c>
    </row>
    <row r="195" spans="1:50" ht="20.100000000000001" customHeight="1">
      <c r="A195" s="1">
        <v>194</v>
      </c>
      <c r="B195" s="2" t="s">
        <v>192</v>
      </c>
      <c r="C195" s="10">
        <v>1218.1828</v>
      </c>
      <c r="D195" s="10">
        <v>1226.8252</v>
      </c>
      <c r="E195" s="10">
        <v>1084.3775000000001</v>
      </c>
      <c r="F195" s="10">
        <v>701.38779999999997</v>
      </c>
      <c r="G195" s="10">
        <v>691.67579999999998</v>
      </c>
      <c r="H195" s="10">
        <v>910.96420000000001</v>
      </c>
      <c r="I195" s="10">
        <v>1152.7655130000001</v>
      </c>
      <c r="J195" s="10">
        <v>1202.4741349999999</v>
      </c>
      <c r="K195" s="10">
        <v>1102.953667</v>
      </c>
      <c r="L195" s="10">
        <v>715.67383400000006</v>
      </c>
      <c r="M195" s="10">
        <v>810.41355399999998</v>
      </c>
      <c r="N195" s="10">
        <v>1076.1028669417999</v>
      </c>
      <c r="O195" s="7">
        <v>0.22539999999999999</v>
      </c>
      <c r="P195" s="7">
        <v>7.1000000000000004E-3</v>
      </c>
      <c r="Q195" s="7">
        <v>-0.11609999999999999</v>
      </c>
      <c r="R195" s="7">
        <v>-0.35320000000000001</v>
      </c>
      <c r="S195" s="7">
        <v>-1.38E-2</v>
      </c>
      <c r="T195" s="7">
        <v>0.317</v>
      </c>
      <c r="U195" s="7">
        <v>0.25950000000000001</v>
      </c>
      <c r="V195" s="7">
        <v>4.3099999999999999E-2</v>
      </c>
      <c r="W195" s="7">
        <v>-8.2799999999999999E-2</v>
      </c>
      <c r="X195" s="7">
        <v>-0.35110000000000002</v>
      </c>
      <c r="Y195" s="7">
        <v>0.13239999999999999</v>
      </c>
      <c r="Z195" s="7">
        <v>0.32779999999999998</v>
      </c>
      <c r="AA195" s="10">
        <v>23396.89540895</v>
      </c>
      <c r="AB195" s="10">
        <v>32789.790519000002</v>
      </c>
      <c r="AC195" s="10">
        <v>25010.251984099999</v>
      </c>
      <c r="AD195" s="10">
        <v>18995.994867500001</v>
      </c>
      <c r="AE195" s="10">
        <v>22078.363846</v>
      </c>
      <c r="AF195" s="10">
        <v>25098.395889399999</v>
      </c>
      <c r="AG195" s="10">
        <v>29494.6117299</v>
      </c>
      <c r="AH195" s="10">
        <v>36502.246596500001</v>
      </c>
      <c r="AI195" s="10">
        <v>29727.591411000001</v>
      </c>
      <c r="AJ195" s="10">
        <v>38828.635505400001</v>
      </c>
      <c r="AK195" s="10">
        <v>12170.220480800001</v>
      </c>
      <c r="AL195" s="10">
        <v>16373.032764699999</v>
      </c>
      <c r="AM195" s="14">
        <v>60</v>
      </c>
      <c r="AN195" s="14">
        <v>65</v>
      </c>
      <c r="AO195" s="14">
        <v>65</v>
      </c>
      <c r="AP195" s="14">
        <v>65</v>
      </c>
      <c r="AQ195" s="14">
        <v>65</v>
      </c>
      <c r="AR195" s="14">
        <v>65</v>
      </c>
      <c r="AS195" s="14">
        <v>60</v>
      </c>
      <c r="AT195" s="14">
        <v>55</v>
      </c>
      <c r="AU195" s="14">
        <v>60</v>
      </c>
      <c r="AV195" s="14">
        <v>65</v>
      </c>
      <c r="AW195" s="14">
        <v>70</v>
      </c>
      <c r="AX195" s="14">
        <v>65</v>
      </c>
    </row>
    <row r="196" spans="1:50" ht="20.100000000000001" customHeight="1">
      <c r="A196" s="1">
        <v>195</v>
      </c>
      <c r="B196" s="2" t="s">
        <v>193</v>
      </c>
      <c r="C196" s="10">
        <v>413.28120000000001</v>
      </c>
      <c r="D196" s="10">
        <v>110.6146</v>
      </c>
      <c r="E196" s="10">
        <v>1568.5318</v>
      </c>
      <c r="F196" s="10">
        <v>1811.3575000000001</v>
      </c>
      <c r="G196" s="10">
        <v>2625.9189999999999</v>
      </c>
      <c r="H196" s="10">
        <v>2757.4290000000001</v>
      </c>
      <c r="I196" s="10">
        <v>1647.476267498</v>
      </c>
      <c r="J196" s="10">
        <v>479.8</v>
      </c>
      <c r="K196" s="10">
        <v>6337.5749999999998</v>
      </c>
      <c r="L196" s="10">
        <v>7318.7</v>
      </c>
      <c r="M196" s="10">
        <v>10420.90823504</v>
      </c>
      <c r="N196" s="10">
        <v>10975.559956183</v>
      </c>
      <c r="O196" s="7">
        <v>-0.79900000000000004</v>
      </c>
      <c r="P196" s="7">
        <v>-0.73240000000000005</v>
      </c>
      <c r="Q196" s="7">
        <v>13.180199999999999</v>
      </c>
      <c r="R196" s="7">
        <v>0.15479999999999999</v>
      </c>
      <c r="S196" s="7">
        <v>0.44969999999999999</v>
      </c>
      <c r="T196" s="7">
        <v>5.0099999999999999E-2</v>
      </c>
      <c r="U196" s="7">
        <v>-0.79910000000000003</v>
      </c>
      <c r="V196" s="7">
        <v>-0.70879999999999999</v>
      </c>
      <c r="W196" s="7">
        <v>12.2088</v>
      </c>
      <c r="X196" s="7">
        <v>0.15479999999999999</v>
      </c>
      <c r="Y196" s="7">
        <v>0.4239</v>
      </c>
      <c r="Z196" s="7">
        <v>5.3199999999999997E-2</v>
      </c>
      <c r="AA196" s="10">
        <v>163952.66818646801</v>
      </c>
      <c r="AB196" s="10">
        <v>182744.10435002</v>
      </c>
      <c r="AC196" s="10">
        <v>173733.706495416</v>
      </c>
      <c r="AD196" s="10">
        <v>185069.08741566801</v>
      </c>
      <c r="AE196" s="10">
        <v>160375.93862012</v>
      </c>
      <c r="AF196" s="10">
        <v>138094.85090766</v>
      </c>
      <c r="AG196" s="10">
        <v>267708.30291666399</v>
      </c>
      <c r="AH196" s="10">
        <v>271539.735684024</v>
      </c>
      <c r="AI196" s="10">
        <v>213384.68173672</v>
      </c>
      <c r="AJ196" s="10">
        <v>197178.27887396599</v>
      </c>
      <c r="AK196" s="10">
        <v>127202.03614447999</v>
      </c>
      <c r="AL196" s="10">
        <v>172788.91000619199</v>
      </c>
      <c r="AM196" s="14">
        <v>5</v>
      </c>
      <c r="AN196" s="14">
        <v>5</v>
      </c>
      <c r="AO196" s="14">
        <v>5</v>
      </c>
      <c r="AP196" s="14">
        <v>5</v>
      </c>
      <c r="AQ196" s="14">
        <v>4.0823</v>
      </c>
      <c r="AR196" s="14">
        <v>4.0911</v>
      </c>
      <c r="AS196" s="14">
        <v>4.5999999999999996</v>
      </c>
      <c r="AT196" s="14">
        <v>4.5999999999999996</v>
      </c>
      <c r="AU196" s="14">
        <v>4.5999999999999996</v>
      </c>
      <c r="AV196" s="14">
        <v>4.5999999999999996</v>
      </c>
      <c r="AW196" s="14">
        <v>5</v>
      </c>
      <c r="AX196" s="14">
        <v>5</v>
      </c>
    </row>
    <row r="197" spans="1:50" ht="20.100000000000001" customHeight="1">
      <c r="A197" s="1">
        <v>196</v>
      </c>
      <c r="B197" s="2" t="s">
        <v>194</v>
      </c>
      <c r="C197" s="10">
        <v>1248.6703</v>
      </c>
      <c r="D197" s="10">
        <v>3444.3881000000001</v>
      </c>
      <c r="E197" s="10">
        <v>8152.5374000000002</v>
      </c>
      <c r="F197" s="10">
        <v>2094.6219000000001</v>
      </c>
      <c r="G197" s="10">
        <v>2681.6356999999998</v>
      </c>
      <c r="H197" s="10">
        <v>3713.1345000000001</v>
      </c>
      <c r="I197" s="10">
        <v>661.04607419199999</v>
      </c>
      <c r="J197" s="10">
        <v>1823.459057715</v>
      </c>
      <c r="K197" s="10">
        <v>4315.9532895889997</v>
      </c>
      <c r="L197" s="10">
        <v>1108.8928250819999</v>
      </c>
      <c r="M197" s="10">
        <v>1419.6579380420001</v>
      </c>
      <c r="N197" s="10">
        <v>1965.7334280170001</v>
      </c>
      <c r="O197" s="7">
        <v>0.55110000000000003</v>
      </c>
      <c r="P197" s="7">
        <v>1.7584</v>
      </c>
      <c r="Q197" s="7">
        <v>1.3669</v>
      </c>
      <c r="R197" s="7">
        <v>-0.74309999999999998</v>
      </c>
      <c r="S197" s="7">
        <v>0.2802</v>
      </c>
      <c r="T197" s="7">
        <v>0.38469999999999999</v>
      </c>
      <c r="U197" s="7">
        <v>0.55110000000000003</v>
      </c>
      <c r="V197" s="7">
        <v>1.7584</v>
      </c>
      <c r="W197" s="7">
        <v>1.3669</v>
      </c>
      <c r="X197" s="7">
        <v>-0.74309999999999998</v>
      </c>
      <c r="Y197" s="7">
        <v>0.2802</v>
      </c>
      <c r="Z197" s="7">
        <v>0.38469999999999999</v>
      </c>
      <c r="AA197" s="10">
        <v>11117.4</v>
      </c>
      <c r="AB197" s="10">
        <v>19428.98</v>
      </c>
      <c r="AC197" s="10">
        <v>17337.849999999999</v>
      </c>
      <c r="AD197" s="10">
        <v>14029.1</v>
      </c>
      <c r="AE197" s="10">
        <v>13976.16</v>
      </c>
      <c r="AF197" s="10">
        <v>17152.560000000001</v>
      </c>
      <c r="AG197" s="10">
        <v>19058.400000000001</v>
      </c>
      <c r="AH197" s="10">
        <v>18846.64</v>
      </c>
      <c r="AI197" s="10">
        <v>17840.78</v>
      </c>
      <c r="AJ197" s="10">
        <v>18714.29</v>
      </c>
      <c r="AK197" s="10">
        <v>4510.4880000000003</v>
      </c>
      <c r="AL197" s="10">
        <v>7411.6</v>
      </c>
      <c r="AM197" s="14">
        <v>25</v>
      </c>
      <c r="AN197" s="14">
        <v>25</v>
      </c>
      <c r="AO197" s="14">
        <v>25</v>
      </c>
      <c r="AP197" s="14">
        <v>25</v>
      </c>
      <c r="AQ197" s="14">
        <v>25</v>
      </c>
      <c r="AR197" s="14">
        <v>25</v>
      </c>
      <c r="AS197" s="14">
        <v>25</v>
      </c>
      <c r="AT197" s="14">
        <v>25</v>
      </c>
      <c r="AU197" s="14">
        <v>25</v>
      </c>
      <c r="AV197" s="14">
        <v>25</v>
      </c>
      <c r="AW197" s="14">
        <v>25</v>
      </c>
      <c r="AX197" s="14">
        <v>25</v>
      </c>
    </row>
    <row r="198" spans="1:50" ht="20.100000000000001" customHeight="1">
      <c r="A198" s="1">
        <v>197</v>
      </c>
      <c r="B198" s="2" t="s">
        <v>195</v>
      </c>
      <c r="C198" s="10">
        <v>2885.3416000000002</v>
      </c>
      <c r="D198" s="10">
        <v>3436.1945999999998</v>
      </c>
      <c r="E198" s="10">
        <v>2801.5772999999999</v>
      </c>
      <c r="F198" s="10">
        <v>114.6537</v>
      </c>
      <c r="G198" s="10">
        <v>2546.6361000000002</v>
      </c>
      <c r="H198" s="10">
        <v>4561.2142000000003</v>
      </c>
      <c r="I198" s="10">
        <v>3917.7677831589999</v>
      </c>
      <c r="J198" s="10">
        <v>4898.8692782199996</v>
      </c>
      <c r="K198" s="10">
        <v>4099.7630273049999</v>
      </c>
      <c r="L198" s="10">
        <v>167.66939270399999</v>
      </c>
      <c r="M198" s="10">
        <v>3721.8684416609999</v>
      </c>
      <c r="N198" s="10">
        <v>6743.5590814175002</v>
      </c>
      <c r="O198" s="7">
        <v>-5.9999999999999995E-4</v>
      </c>
      <c r="P198" s="7">
        <v>0.19089999999999999</v>
      </c>
      <c r="Q198" s="7">
        <v>-0.1847</v>
      </c>
      <c r="R198" s="7">
        <v>-0.95909999999999995</v>
      </c>
      <c r="S198" s="7">
        <v>21.211500000000001</v>
      </c>
      <c r="T198" s="7">
        <v>0.79110000000000003</v>
      </c>
      <c r="U198" s="7">
        <v>2.18E-2</v>
      </c>
      <c r="V198" s="7">
        <v>0.25040000000000001</v>
      </c>
      <c r="W198" s="7">
        <v>-0.16309999999999999</v>
      </c>
      <c r="X198" s="7">
        <v>-0.95909999999999995</v>
      </c>
      <c r="Y198" s="7">
        <v>21.197700000000001</v>
      </c>
      <c r="Z198" s="7">
        <v>0.81189999999999996</v>
      </c>
      <c r="AA198" s="10">
        <v>72247.195848000003</v>
      </c>
      <c r="AB198" s="10">
        <v>96874.071970499994</v>
      </c>
      <c r="AC198" s="10">
        <v>104655.238545</v>
      </c>
      <c r="AD198" s="10">
        <v>62778.861116400003</v>
      </c>
      <c r="AE198" s="10">
        <v>63348.358720199998</v>
      </c>
      <c r="AF198" s="10">
        <v>62590.651006400003</v>
      </c>
      <c r="AG198" s="10">
        <v>91244.036644799999</v>
      </c>
      <c r="AH198" s="10">
        <v>89150.536749000006</v>
      </c>
      <c r="AI198" s="10">
        <v>96848.892644000007</v>
      </c>
      <c r="AJ198" s="10">
        <v>121824.8372712</v>
      </c>
      <c r="AK198" s="10">
        <v>36587.648020799999</v>
      </c>
      <c r="AL198" s="10">
        <v>53814.840796600001</v>
      </c>
      <c r="AM198" s="14">
        <v>65</v>
      </c>
      <c r="AN198" s="14">
        <v>65</v>
      </c>
      <c r="AO198" s="14">
        <v>70</v>
      </c>
      <c r="AP198" s="14">
        <v>75</v>
      </c>
      <c r="AQ198" s="14">
        <v>75</v>
      </c>
      <c r="AR198" s="14">
        <v>80</v>
      </c>
      <c r="AS198" s="14">
        <v>80</v>
      </c>
      <c r="AT198" s="14">
        <v>80</v>
      </c>
      <c r="AU198" s="14">
        <v>75</v>
      </c>
      <c r="AV198" s="14">
        <v>75</v>
      </c>
      <c r="AW198" s="14">
        <v>65</v>
      </c>
      <c r="AX198" s="14">
        <v>65</v>
      </c>
    </row>
    <row r="199" spans="1:50" ht="20.100000000000001" customHeight="1">
      <c r="A199" s="1">
        <v>198</v>
      </c>
      <c r="B199" s="2" t="s">
        <v>196</v>
      </c>
      <c r="C199" s="10">
        <v>772.26779999999997</v>
      </c>
      <c r="D199" s="10">
        <v>632.53639999999996</v>
      </c>
      <c r="E199" s="10">
        <v>603.26170000000002</v>
      </c>
      <c r="F199" s="10">
        <v>946.07899999999995</v>
      </c>
      <c r="G199" s="10">
        <v>997.84429999999998</v>
      </c>
      <c r="H199" s="10">
        <v>8590.6381000000001</v>
      </c>
      <c r="I199" s="10">
        <v>284.19222679500001</v>
      </c>
      <c r="J199" s="10">
        <v>232.769603773</v>
      </c>
      <c r="K199" s="10">
        <v>221.99667416700001</v>
      </c>
      <c r="L199" s="10">
        <v>348.14760445799999</v>
      </c>
      <c r="M199" s="10">
        <v>367.19274444600001</v>
      </c>
      <c r="N199" s="10">
        <v>3711.0354085718</v>
      </c>
      <c r="O199" s="7">
        <v>0.35770000000000002</v>
      </c>
      <c r="P199" s="7">
        <v>-0.18090000000000001</v>
      </c>
      <c r="Q199" s="7">
        <v>-4.6300000000000001E-2</v>
      </c>
      <c r="R199" s="7">
        <v>0.56830000000000003</v>
      </c>
      <c r="S199" s="7">
        <v>5.4699999999999999E-2</v>
      </c>
      <c r="T199" s="7">
        <v>7.6092000000000004</v>
      </c>
      <c r="U199" s="7">
        <v>0.49359999999999998</v>
      </c>
      <c r="V199" s="7">
        <v>-0.18090000000000001</v>
      </c>
      <c r="W199" s="7">
        <v>-4.6300000000000001E-2</v>
      </c>
      <c r="X199" s="7">
        <v>0.56830000000000003</v>
      </c>
      <c r="Y199" s="7">
        <v>5.4699999999999999E-2</v>
      </c>
      <c r="Z199" s="7">
        <v>9.1065000000000005</v>
      </c>
      <c r="AA199" s="10">
        <v>1909.4712378500001</v>
      </c>
      <c r="AB199" s="10">
        <v>3584.14690595</v>
      </c>
      <c r="AC199" s="10">
        <v>1780.8227676199999</v>
      </c>
      <c r="AD199" s="10">
        <v>1157.2133507999999</v>
      </c>
      <c r="AE199" s="10">
        <v>1659.4439439</v>
      </c>
      <c r="AF199" s="10">
        <v>2499.5571335999998</v>
      </c>
      <c r="AG199" s="10">
        <v>3697.26159345</v>
      </c>
      <c r="AH199" s="10">
        <v>2730.4558825600002</v>
      </c>
      <c r="AI199" s="10">
        <v>6587.7860119999996</v>
      </c>
      <c r="AJ199" s="10">
        <v>6091.0021488000002</v>
      </c>
      <c r="AK199" s="10">
        <v>1068.7544050700001</v>
      </c>
      <c r="AL199" s="10">
        <v>1659.45414052</v>
      </c>
      <c r="AM199" s="14">
        <v>50</v>
      </c>
      <c r="AN199" s="14">
        <v>50</v>
      </c>
      <c r="AO199" s="14">
        <v>50</v>
      </c>
      <c r="AP199" s="14">
        <v>50</v>
      </c>
      <c r="AQ199" s="14">
        <v>50</v>
      </c>
      <c r="AR199" s="14">
        <v>50</v>
      </c>
      <c r="AS199" s="14">
        <v>50</v>
      </c>
      <c r="AT199" s="14">
        <v>45</v>
      </c>
      <c r="AU199" s="14">
        <v>45</v>
      </c>
      <c r="AV199" s="14">
        <v>45</v>
      </c>
      <c r="AW199" s="14">
        <v>55</v>
      </c>
      <c r="AX199" s="14">
        <v>50</v>
      </c>
    </row>
    <row r="200" spans="1:50" ht="20.100000000000001" customHeight="1">
      <c r="A200" s="1">
        <v>199</v>
      </c>
      <c r="B200" s="2" t="s">
        <v>197</v>
      </c>
      <c r="C200" s="10">
        <v>1664.8143</v>
      </c>
      <c r="D200" s="10">
        <v>4267.3552</v>
      </c>
      <c r="E200" s="10">
        <v>1079.5073</v>
      </c>
      <c r="F200" s="10">
        <v>872.70119999999997</v>
      </c>
      <c r="G200" s="10">
        <v>1566.2098000000001</v>
      </c>
      <c r="H200" s="10">
        <v>2183.2053000000001</v>
      </c>
      <c r="I200" s="10">
        <v>13450.300052811999</v>
      </c>
      <c r="J200" s="10">
        <v>34478.143197459998</v>
      </c>
      <c r="K200" s="10">
        <v>8483.5105540309996</v>
      </c>
      <c r="L200" s="10">
        <v>6835.0643343559996</v>
      </c>
      <c r="M200" s="10">
        <v>12021.443836074001</v>
      </c>
      <c r="N200" s="10">
        <v>16757.118391468401</v>
      </c>
      <c r="O200" s="7">
        <v>0.78690000000000004</v>
      </c>
      <c r="P200" s="7">
        <v>1.5632999999999999</v>
      </c>
      <c r="Q200" s="7">
        <v>-0.747</v>
      </c>
      <c r="R200" s="7">
        <v>-0.19159999999999999</v>
      </c>
      <c r="S200" s="7">
        <v>0.79469999999999996</v>
      </c>
      <c r="T200" s="7">
        <v>0.39389999999999997</v>
      </c>
      <c r="U200" s="7">
        <v>0.78680000000000005</v>
      </c>
      <c r="V200" s="7">
        <v>1.5633999999999999</v>
      </c>
      <c r="W200" s="7">
        <v>-0.75390000000000001</v>
      </c>
      <c r="X200" s="7">
        <v>-0.1943</v>
      </c>
      <c r="Y200" s="7">
        <v>0.75880000000000003</v>
      </c>
      <c r="Z200" s="7">
        <v>0.39389999999999997</v>
      </c>
      <c r="AA200" s="10">
        <v>230355.519359</v>
      </c>
      <c r="AB200" s="10">
        <v>207543.61355839999</v>
      </c>
      <c r="AC200" s="10">
        <v>129669.72111</v>
      </c>
      <c r="AD200" s="10">
        <v>104666.14260000001</v>
      </c>
      <c r="AE200" s="10">
        <v>152056.64605499999</v>
      </c>
      <c r="AF200" s="10">
        <v>162523.26031499999</v>
      </c>
      <c r="AG200" s="10">
        <v>181013.88066</v>
      </c>
      <c r="AH200" s="10">
        <v>170460.06783000001</v>
      </c>
      <c r="AI200" s="10">
        <v>174233.85544799999</v>
      </c>
      <c r="AJ200" s="10">
        <v>211842.857598</v>
      </c>
      <c r="AK200" s="10">
        <v>73996.786282000001</v>
      </c>
      <c r="AL200" s="10">
        <v>137335.56621555</v>
      </c>
      <c r="AM200" s="14">
        <v>55</v>
      </c>
      <c r="AN200" s="14">
        <v>55</v>
      </c>
      <c r="AO200" s="14">
        <v>55</v>
      </c>
      <c r="AP200" s="14">
        <v>55</v>
      </c>
      <c r="AQ200" s="14">
        <v>55</v>
      </c>
      <c r="AR200" s="14">
        <v>55</v>
      </c>
      <c r="AS200" s="14">
        <v>55</v>
      </c>
      <c r="AT200" s="14">
        <v>55</v>
      </c>
      <c r="AU200" s="14">
        <v>55</v>
      </c>
      <c r="AV200" s="14">
        <v>55</v>
      </c>
      <c r="AW200" s="14">
        <v>60</v>
      </c>
      <c r="AX200" s="14">
        <v>55</v>
      </c>
    </row>
    <row r="201" spans="1:50" ht="20.100000000000001" customHeight="1">
      <c r="A201" s="1">
        <v>200</v>
      </c>
      <c r="B201" s="2" t="s">
        <v>198</v>
      </c>
      <c r="C201" s="10">
        <v>133.1242</v>
      </c>
      <c r="D201" s="10">
        <v>2605.5223999999998</v>
      </c>
      <c r="E201" s="10">
        <v>2292.1378</v>
      </c>
      <c r="F201" s="10">
        <v>-2029.5797</v>
      </c>
      <c r="G201" s="10">
        <v>1864.4197999999999</v>
      </c>
      <c r="H201" s="10">
        <v>4134.1023999999998</v>
      </c>
      <c r="I201" s="10">
        <v>24.718596246000001</v>
      </c>
      <c r="J201" s="10">
        <v>443.73216761899999</v>
      </c>
      <c r="K201" s="10">
        <v>390.360854577</v>
      </c>
      <c r="L201" s="10">
        <v>-345.64348932799999</v>
      </c>
      <c r="M201" s="10">
        <v>317.51626561699999</v>
      </c>
      <c r="N201" s="10">
        <v>704.04591348609995</v>
      </c>
      <c r="O201" s="7">
        <v>-0.89359999999999995</v>
      </c>
      <c r="P201" s="7">
        <v>18.572099999999999</v>
      </c>
      <c r="Q201" s="7">
        <v>-0.1203</v>
      </c>
      <c r="R201" s="7"/>
      <c r="S201" s="7"/>
      <c r="T201" s="7">
        <v>1.2174</v>
      </c>
      <c r="U201" s="7">
        <v>-0.88400000000000001</v>
      </c>
      <c r="V201" s="7">
        <v>16.9513</v>
      </c>
      <c r="W201" s="7">
        <v>-0.1203</v>
      </c>
      <c r="X201" s="7"/>
      <c r="Y201" s="7"/>
      <c r="Z201" s="7">
        <v>1.2174</v>
      </c>
      <c r="AA201" s="10">
        <v>2140.4065632000002</v>
      </c>
      <c r="AB201" s="10">
        <v>7913.9755584000004</v>
      </c>
      <c r="AC201" s="10">
        <v>10804.695191999999</v>
      </c>
      <c r="AD201" s="10">
        <v>8174.6049149999999</v>
      </c>
      <c r="AE201" s="10">
        <v>9754.9550524000006</v>
      </c>
      <c r="AF201" s="10">
        <v>14577.935622999999</v>
      </c>
      <c r="AG201" s="10">
        <v>24114.902853</v>
      </c>
      <c r="AH201" s="10">
        <v>25286.587398399999</v>
      </c>
      <c r="AI201" s="10">
        <v>24414.636108800001</v>
      </c>
      <c r="AJ201" s="10">
        <v>25034.362395</v>
      </c>
      <c r="AK201" s="10">
        <v>1737.599424</v>
      </c>
      <c r="AL201" s="10">
        <v>2527.417344</v>
      </c>
      <c r="AM201" s="14">
        <v>55</v>
      </c>
      <c r="AN201" s="14">
        <v>55</v>
      </c>
      <c r="AO201" s="14">
        <v>55</v>
      </c>
      <c r="AP201" s="14">
        <v>55</v>
      </c>
      <c r="AQ201" s="14">
        <v>55</v>
      </c>
      <c r="AR201" s="14">
        <v>55</v>
      </c>
      <c r="AS201" s="14">
        <v>55</v>
      </c>
      <c r="AT201" s="14">
        <v>55</v>
      </c>
      <c r="AU201" s="14">
        <v>55</v>
      </c>
      <c r="AV201" s="14">
        <v>55</v>
      </c>
      <c r="AW201" s="14">
        <v>55</v>
      </c>
      <c r="AX201" s="14">
        <v>55</v>
      </c>
    </row>
    <row r="202" spans="1:50" ht="20.100000000000001" customHeight="1">
      <c r="A202" s="1">
        <v>201</v>
      </c>
      <c r="B202" s="2" t="s">
        <v>199</v>
      </c>
      <c r="C202" s="10">
        <v>978.84540000000004</v>
      </c>
      <c r="D202" s="10">
        <v>1591.6052</v>
      </c>
      <c r="E202" s="10">
        <v>2602.0925000000002</v>
      </c>
      <c r="F202" s="10">
        <v>6088.1208999999999</v>
      </c>
      <c r="G202" s="10">
        <v>3293.0841999999998</v>
      </c>
      <c r="H202" s="10">
        <v>3280.0947999999999</v>
      </c>
      <c r="I202" s="10">
        <v>370.93198446999997</v>
      </c>
      <c r="J202" s="10">
        <v>612.18207339699995</v>
      </c>
      <c r="K202" s="10">
        <v>993.915564733</v>
      </c>
      <c r="L202" s="10">
        <v>2250.5773399200002</v>
      </c>
      <c r="M202" s="10">
        <v>1455.479595602</v>
      </c>
      <c r="N202" s="10">
        <v>1493.2817473712</v>
      </c>
      <c r="O202" s="7">
        <v>-0.28260000000000002</v>
      </c>
      <c r="P202" s="7">
        <v>0.626</v>
      </c>
      <c r="Q202" s="7">
        <v>0.63490000000000002</v>
      </c>
      <c r="R202" s="7">
        <v>1.3396999999999999</v>
      </c>
      <c r="S202" s="7">
        <v>-0.45910000000000001</v>
      </c>
      <c r="T202" s="7">
        <v>-3.8999999999999998E-3</v>
      </c>
      <c r="U202" s="7">
        <v>-0.28260000000000002</v>
      </c>
      <c r="V202" s="7">
        <v>0.65039999999999998</v>
      </c>
      <c r="W202" s="7">
        <v>0.62360000000000004</v>
      </c>
      <c r="X202" s="7">
        <v>1.2644</v>
      </c>
      <c r="Y202" s="7">
        <v>-0.3533</v>
      </c>
      <c r="Z202" s="7">
        <v>2.5999999999999999E-2</v>
      </c>
      <c r="AA202" s="10">
        <v>12959.252151000001</v>
      </c>
      <c r="AB202" s="10">
        <v>14255.177366100001</v>
      </c>
      <c r="AC202" s="10">
        <v>15671.653764000001</v>
      </c>
      <c r="AD202" s="10">
        <v>13682.5592478</v>
      </c>
      <c r="AE202" s="10">
        <v>15641.5159683</v>
      </c>
      <c r="AF202" s="10">
        <v>21565.848268500002</v>
      </c>
      <c r="AG202" s="10">
        <v>25770.417431000002</v>
      </c>
      <c r="AH202" s="10">
        <v>26991.666106799999</v>
      </c>
      <c r="AI202" s="10">
        <v>24329.1346911</v>
      </c>
      <c r="AJ202" s="10">
        <v>26954.490888799999</v>
      </c>
      <c r="AK202" s="10">
        <v>5522.8042002000002</v>
      </c>
      <c r="AL202" s="10">
        <v>9679.7535982000009</v>
      </c>
      <c r="AM202" s="14">
        <v>85</v>
      </c>
      <c r="AN202" s="14">
        <v>80</v>
      </c>
      <c r="AO202" s="14">
        <v>85</v>
      </c>
      <c r="AP202" s="14">
        <v>90</v>
      </c>
      <c r="AQ202" s="14">
        <v>90</v>
      </c>
      <c r="AR202" s="14">
        <v>90</v>
      </c>
      <c r="AS202" s="14">
        <v>85</v>
      </c>
      <c r="AT202" s="14">
        <v>85</v>
      </c>
      <c r="AU202" s="14">
        <v>85</v>
      </c>
      <c r="AV202" s="14">
        <v>85</v>
      </c>
      <c r="AW202" s="14">
        <v>85</v>
      </c>
      <c r="AX202" s="14">
        <v>85</v>
      </c>
    </row>
    <row r="203" spans="1:50" ht="20.100000000000001" customHeight="1">
      <c r="A203" s="1">
        <v>202</v>
      </c>
      <c r="B203" s="2" t="s">
        <v>200</v>
      </c>
      <c r="C203" s="10">
        <v>2001.3425999999999</v>
      </c>
      <c r="D203" s="10">
        <v>3392.3809999999999</v>
      </c>
      <c r="E203" s="10">
        <v>3802.1615000000002</v>
      </c>
      <c r="F203" s="10">
        <v>2014.3344</v>
      </c>
      <c r="G203" s="10">
        <v>2220.9313000000002</v>
      </c>
      <c r="H203" s="10">
        <v>3054.5479999999998</v>
      </c>
      <c r="I203" s="10">
        <v>195.009961347</v>
      </c>
      <c r="J203" s="10">
        <v>341.94959449800001</v>
      </c>
      <c r="K203" s="10">
        <v>383.25518320100002</v>
      </c>
      <c r="L203" s="10">
        <v>203.04347988500001</v>
      </c>
      <c r="M203" s="10">
        <v>223.868298579</v>
      </c>
      <c r="N203" s="10">
        <v>307.89538407600003</v>
      </c>
      <c r="O203" s="7">
        <v>4.2200000000000001E-2</v>
      </c>
      <c r="P203" s="7">
        <v>0.69510000000000005</v>
      </c>
      <c r="Q203" s="7">
        <v>0.1208</v>
      </c>
      <c r="R203" s="7">
        <v>-0.47020000000000001</v>
      </c>
      <c r="S203" s="7">
        <v>0.1026</v>
      </c>
      <c r="T203" s="7">
        <v>0.37530000000000002</v>
      </c>
      <c r="U203" s="7">
        <v>7.4999999999999997E-3</v>
      </c>
      <c r="V203" s="7">
        <v>0.75349999999999995</v>
      </c>
      <c r="W203" s="7">
        <v>0.1208</v>
      </c>
      <c r="X203" s="7">
        <v>-0.47020000000000001</v>
      </c>
      <c r="Y203" s="7">
        <v>0.1026</v>
      </c>
      <c r="Z203" s="7">
        <v>0.37530000000000002</v>
      </c>
      <c r="AA203" s="10">
        <v>2114.99107</v>
      </c>
      <c r="AB203" s="10">
        <v>4724.9665500000001</v>
      </c>
      <c r="AC203" s="10">
        <v>3068.0782798</v>
      </c>
      <c r="AD203" s="10">
        <v>1795.4872889999999</v>
      </c>
      <c r="AE203" s="10">
        <v>2053.7854603999999</v>
      </c>
      <c r="AF203" s="10">
        <v>2497.9323161000002</v>
      </c>
      <c r="AG203" s="10">
        <v>3408.2758714000001</v>
      </c>
      <c r="AH203" s="10">
        <v>2897.979484</v>
      </c>
      <c r="AI203" s="10">
        <v>4374.6779888000001</v>
      </c>
      <c r="AJ203" s="10">
        <v>4515.7966336</v>
      </c>
      <c r="AK203" s="10">
        <v>967.87077250000004</v>
      </c>
      <c r="AL203" s="10">
        <v>1394.1689105</v>
      </c>
      <c r="AM203" s="14">
        <v>50</v>
      </c>
      <c r="AN203" s="14">
        <v>55</v>
      </c>
      <c r="AO203" s="14">
        <v>55</v>
      </c>
      <c r="AP203" s="14">
        <v>55</v>
      </c>
      <c r="AQ203" s="14">
        <v>55</v>
      </c>
      <c r="AR203" s="14">
        <v>55</v>
      </c>
      <c r="AS203" s="14">
        <v>55</v>
      </c>
      <c r="AT203" s="14">
        <v>55</v>
      </c>
      <c r="AU203" s="14">
        <v>30</v>
      </c>
      <c r="AV203" s="14">
        <v>55</v>
      </c>
      <c r="AW203" s="14">
        <v>55</v>
      </c>
      <c r="AX203" s="14">
        <v>50</v>
      </c>
    </row>
    <row r="204" spans="1:50" ht="20.100000000000001" customHeight="1">
      <c r="A204" s="1">
        <v>203</v>
      </c>
      <c r="B204" s="2" t="s">
        <v>201</v>
      </c>
      <c r="C204" s="10">
        <v>2200.1729</v>
      </c>
      <c r="D204" s="10">
        <v>6087.4133000000002</v>
      </c>
      <c r="E204" s="10">
        <v>13855.2402</v>
      </c>
      <c r="F204" s="10">
        <v>7710.8036000000002</v>
      </c>
      <c r="G204" s="10">
        <v>7746.7933000000003</v>
      </c>
      <c r="H204" s="10">
        <v>7854.1216000000004</v>
      </c>
      <c r="I204" s="10">
        <v>906.67478327599997</v>
      </c>
      <c r="J204" s="10">
        <v>2388.1509706239999</v>
      </c>
      <c r="K204" s="10">
        <v>5565.0050786780002</v>
      </c>
      <c r="L204" s="10">
        <v>3099.9852418149999</v>
      </c>
      <c r="M204" s="10">
        <v>2986.646667039</v>
      </c>
      <c r="N204" s="10">
        <v>3174.6297001050998</v>
      </c>
      <c r="O204" s="7">
        <v>0.58919999999999995</v>
      </c>
      <c r="P204" s="7">
        <v>1.7667999999999999</v>
      </c>
      <c r="Q204" s="7">
        <v>1.276</v>
      </c>
      <c r="R204" s="7">
        <v>-0.44350000000000001</v>
      </c>
      <c r="S204" s="7">
        <v>4.7000000000000002E-3</v>
      </c>
      <c r="T204" s="7">
        <v>1.3899999999999999E-2</v>
      </c>
      <c r="U204" s="7">
        <v>0.6</v>
      </c>
      <c r="V204" s="7">
        <v>1.6339999999999999</v>
      </c>
      <c r="W204" s="7">
        <v>1.3303</v>
      </c>
      <c r="X204" s="7">
        <v>-0.443</v>
      </c>
      <c r="Y204" s="7">
        <v>-3.6600000000000001E-2</v>
      </c>
      <c r="Z204" s="7">
        <v>6.2899999999999998E-2</v>
      </c>
      <c r="AA204" s="10">
        <v>13960.102132800001</v>
      </c>
      <c r="AB204" s="10">
        <v>27355.641311700001</v>
      </c>
      <c r="AC204" s="10">
        <v>43249.599800000004</v>
      </c>
      <c r="AD204" s="10">
        <v>22368.948525700001</v>
      </c>
      <c r="AE204" s="10">
        <v>24229.862749399999</v>
      </c>
      <c r="AF204" s="10">
        <v>35851.082187200001</v>
      </c>
      <c r="AG204" s="10">
        <v>46522.855592499996</v>
      </c>
      <c r="AH204" s="10">
        <v>44282.162955799999</v>
      </c>
      <c r="AI204" s="10">
        <v>38623.464602100001</v>
      </c>
      <c r="AJ204" s="10">
        <v>36686.594695799999</v>
      </c>
      <c r="AK204" s="10">
        <v>5109.8283485000002</v>
      </c>
      <c r="AL204" s="10">
        <v>7601.9461769999998</v>
      </c>
      <c r="AM204" s="14">
        <v>100</v>
      </c>
      <c r="AN204" s="14">
        <v>50</v>
      </c>
      <c r="AO204" s="14">
        <v>60</v>
      </c>
      <c r="AP204" s="14">
        <v>60</v>
      </c>
      <c r="AQ204" s="14">
        <v>60</v>
      </c>
      <c r="AR204" s="14">
        <v>60</v>
      </c>
      <c r="AS204" s="14">
        <v>60</v>
      </c>
      <c r="AT204" s="14">
        <v>60</v>
      </c>
      <c r="AU204" s="14">
        <v>60</v>
      </c>
      <c r="AV204" s="14">
        <v>60</v>
      </c>
      <c r="AW204" s="14">
        <v>100</v>
      </c>
      <c r="AX204" s="14">
        <v>100</v>
      </c>
    </row>
    <row r="205" spans="1:50" ht="20.100000000000001" customHeight="1">
      <c r="A205" s="1">
        <v>204</v>
      </c>
      <c r="B205" s="2" t="s">
        <v>202</v>
      </c>
      <c r="C205" s="10">
        <v>4057.4854</v>
      </c>
      <c r="D205" s="10">
        <v>5083.9159</v>
      </c>
      <c r="E205" s="10">
        <v>3848.2046999999998</v>
      </c>
      <c r="F205" s="10">
        <v>3202.5372000000002</v>
      </c>
      <c r="G205" s="10">
        <v>2506.0857999999998</v>
      </c>
      <c r="H205" s="10">
        <v>3500.0992000000001</v>
      </c>
      <c r="I205" s="10">
        <v>391.92358788600001</v>
      </c>
      <c r="J205" s="10">
        <v>481.340230615</v>
      </c>
      <c r="K205" s="10">
        <v>379.458584417</v>
      </c>
      <c r="L205" s="10">
        <v>309.33838873899998</v>
      </c>
      <c r="M205" s="10">
        <v>242.066983472</v>
      </c>
      <c r="N205" s="10">
        <v>344.97763126389998</v>
      </c>
      <c r="O205" s="7">
        <v>1.1583000000000001</v>
      </c>
      <c r="P205" s="7">
        <v>0.253</v>
      </c>
      <c r="Q205" s="7">
        <v>-0.24310000000000001</v>
      </c>
      <c r="R205" s="7">
        <v>-0.1678</v>
      </c>
      <c r="S205" s="7">
        <v>-0.2175</v>
      </c>
      <c r="T205" s="7">
        <v>0.39660000000000001</v>
      </c>
      <c r="U205" s="7">
        <v>1.1583000000000001</v>
      </c>
      <c r="V205" s="7">
        <v>0.2281</v>
      </c>
      <c r="W205" s="7">
        <v>-0.2117</v>
      </c>
      <c r="X205" s="7">
        <v>-0.18479999999999999</v>
      </c>
      <c r="Y205" s="7">
        <v>-0.2175</v>
      </c>
      <c r="Z205" s="7">
        <v>0.42509999999999998</v>
      </c>
      <c r="AA205" s="10">
        <v>5879.5572149999998</v>
      </c>
      <c r="AB205" s="10">
        <v>6229.5036469999995</v>
      </c>
      <c r="AC205" s="10">
        <v>4549.6374949999999</v>
      </c>
      <c r="AD205" s="10">
        <v>2640.1719744000002</v>
      </c>
      <c r="AE205" s="10">
        <v>3292.1656631999999</v>
      </c>
      <c r="AF205" s="10">
        <v>3058.7358239999999</v>
      </c>
      <c r="AG205" s="10">
        <v>3147.2781768</v>
      </c>
      <c r="AH205" s="10">
        <v>3034.5879095999999</v>
      </c>
      <c r="AI205" s="10">
        <v>2641.7694841000002</v>
      </c>
      <c r="AJ205" s="10">
        <v>3274.4418833999998</v>
      </c>
      <c r="AK205" s="10">
        <v>1934.6543026500001</v>
      </c>
      <c r="AL205" s="10">
        <v>3410.1431846999999</v>
      </c>
      <c r="AM205" s="14">
        <v>75</v>
      </c>
      <c r="AN205" s="14">
        <v>70</v>
      </c>
      <c r="AO205" s="14">
        <v>65</v>
      </c>
      <c r="AP205" s="14">
        <v>70</v>
      </c>
      <c r="AQ205" s="14">
        <v>65</v>
      </c>
      <c r="AR205" s="14">
        <v>65</v>
      </c>
      <c r="AS205" s="14">
        <v>70</v>
      </c>
      <c r="AT205" s="14">
        <v>75</v>
      </c>
      <c r="AU205" s="14">
        <v>70</v>
      </c>
      <c r="AV205" s="14">
        <v>70</v>
      </c>
      <c r="AW205" s="14">
        <v>50</v>
      </c>
      <c r="AX205" s="14">
        <v>70</v>
      </c>
    </row>
    <row r="206" spans="1:50" ht="20.100000000000001" customHeight="1">
      <c r="A206" s="1">
        <v>205</v>
      </c>
      <c r="B206" s="2" t="s">
        <v>203</v>
      </c>
      <c r="C206" s="10">
        <v>2329.5745999999999</v>
      </c>
      <c r="D206" s="10">
        <v>3840.5925000000002</v>
      </c>
      <c r="E206" s="10">
        <v>2468.0619000000002</v>
      </c>
      <c r="F206" s="10">
        <v>2593.0983000000001</v>
      </c>
      <c r="G206" s="10">
        <v>6244.8644999999997</v>
      </c>
      <c r="H206" s="10">
        <v>5432.8735999999999</v>
      </c>
      <c r="I206" s="10">
        <v>133.17709718</v>
      </c>
      <c r="J206" s="10">
        <v>219.55895117899999</v>
      </c>
      <c r="K206" s="10">
        <v>141.09413864199999</v>
      </c>
      <c r="L206" s="10">
        <v>148.24221819600001</v>
      </c>
      <c r="M206" s="10">
        <v>357.00635137799998</v>
      </c>
      <c r="N206" s="10">
        <v>310.58651633109997</v>
      </c>
      <c r="O206" s="7">
        <v>0.79959999999999998</v>
      </c>
      <c r="P206" s="7">
        <v>0.64859999999999995</v>
      </c>
      <c r="Q206" s="7">
        <v>-0.3574</v>
      </c>
      <c r="R206" s="7">
        <v>5.0700000000000002E-2</v>
      </c>
      <c r="S206" s="7">
        <v>1.4083000000000001</v>
      </c>
      <c r="T206" s="7">
        <v>-0.13</v>
      </c>
      <c r="U206" s="7">
        <v>0.79959999999999998</v>
      </c>
      <c r="V206" s="7">
        <v>0.64859999999999995</v>
      </c>
      <c r="W206" s="7">
        <v>-0.3574</v>
      </c>
      <c r="X206" s="7">
        <v>5.0700000000000002E-2</v>
      </c>
      <c r="Y206" s="7">
        <v>1.4083000000000001</v>
      </c>
      <c r="Z206" s="7">
        <v>-0.13</v>
      </c>
      <c r="AA206" s="10">
        <v>1640.7213991000001</v>
      </c>
      <c r="AB206" s="10">
        <v>1869.3933711</v>
      </c>
      <c r="AC206" s="10">
        <v>1320.5806382999999</v>
      </c>
      <c r="AD206" s="10">
        <v>957.56388274999995</v>
      </c>
      <c r="AE206" s="10">
        <v>1026.1654743500001</v>
      </c>
      <c r="AF206" s="10">
        <v>1412.0494271</v>
      </c>
      <c r="AG206" s="10">
        <v>2092.3485437999998</v>
      </c>
      <c r="AH206" s="10">
        <v>2301.0117182499998</v>
      </c>
      <c r="AI206" s="10">
        <v>2666.8868734500002</v>
      </c>
      <c r="AJ206" s="10">
        <v>2581.1348839500001</v>
      </c>
      <c r="AK206" s="10">
        <v>657.43191950000005</v>
      </c>
      <c r="AL206" s="10">
        <v>997.58147785000006</v>
      </c>
      <c r="AM206" s="14">
        <v>35</v>
      </c>
      <c r="AN206" s="14">
        <v>35</v>
      </c>
      <c r="AO206" s="14">
        <v>35</v>
      </c>
      <c r="AP206" s="14">
        <v>35</v>
      </c>
      <c r="AQ206" s="14">
        <v>35</v>
      </c>
      <c r="AR206" s="14">
        <v>35</v>
      </c>
      <c r="AS206" s="14">
        <v>35</v>
      </c>
      <c r="AT206" s="14">
        <v>35</v>
      </c>
      <c r="AU206" s="14">
        <v>35</v>
      </c>
      <c r="AV206" s="14">
        <v>35</v>
      </c>
      <c r="AW206" s="14">
        <v>35</v>
      </c>
      <c r="AX206" s="14">
        <v>35</v>
      </c>
    </row>
    <row r="207" spans="1:50" ht="20.100000000000001" customHeight="1">
      <c r="A207" s="1">
        <v>206</v>
      </c>
      <c r="B207" s="2" t="s">
        <v>204</v>
      </c>
      <c r="C207" s="10">
        <v>2094.8011999999999</v>
      </c>
      <c r="D207" s="10">
        <v>843.53089999999997</v>
      </c>
      <c r="E207" s="10">
        <v>2493.1336999999999</v>
      </c>
      <c r="F207" s="10">
        <v>1177.2925</v>
      </c>
      <c r="G207" s="10">
        <v>2463.9679000000001</v>
      </c>
      <c r="H207" s="10">
        <v>2105.0461</v>
      </c>
      <c r="I207" s="10">
        <v>275.24301856800002</v>
      </c>
      <c r="J207" s="10">
        <v>142.51716068299999</v>
      </c>
      <c r="K207" s="10">
        <v>279.34488262399998</v>
      </c>
      <c r="L207" s="10">
        <v>131.90702187400001</v>
      </c>
      <c r="M207" s="10">
        <v>276.06428847900003</v>
      </c>
      <c r="N207" s="10">
        <v>243.14150673899999</v>
      </c>
      <c r="O207" s="7">
        <v>8.8099999999999998E-2</v>
      </c>
      <c r="P207" s="7">
        <v>-0.59730000000000005</v>
      </c>
      <c r="Q207" s="7">
        <v>1.9556</v>
      </c>
      <c r="R207" s="7">
        <v>-0.52780000000000005</v>
      </c>
      <c r="S207" s="7">
        <v>1.0929</v>
      </c>
      <c r="T207" s="7">
        <v>-0.1457</v>
      </c>
      <c r="U207" s="7">
        <v>0.27589999999999998</v>
      </c>
      <c r="V207" s="7">
        <v>-0.48220000000000002</v>
      </c>
      <c r="W207" s="7">
        <v>0.96009999999999995</v>
      </c>
      <c r="X207" s="7">
        <v>-0.52780000000000005</v>
      </c>
      <c r="Y207" s="7">
        <v>1.0929</v>
      </c>
      <c r="Z207" s="7">
        <v>-0.1193</v>
      </c>
      <c r="AA207" s="10">
        <v>6427.6842915999996</v>
      </c>
      <c r="AB207" s="10">
        <v>4646.1753416000001</v>
      </c>
      <c r="AC207" s="10">
        <v>3810.5204804999998</v>
      </c>
      <c r="AD207" s="10">
        <v>4343.1738809999997</v>
      </c>
      <c r="AE207" s="10">
        <v>4613.5979151000001</v>
      </c>
      <c r="AF207" s="10">
        <v>3773.3385079999998</v>
      </c>
      <c r="AG207" s="10">
        <v>5016.360326</v>
      </c>
      <c r="AH207" s="10">
        <v>4873.7632812000002</v>
      </c>
      <c r="AI207" s="10">
        <v>3551.6285334999998</v>
      </c>
      <c r="AJ207" s="10">
        <v>3221.1142062499998</v>
      </c>
      <c r="AK207" s="10">
        <v>1117.7878324000001</v>
      </c>
      <c r="AL207" s="10">
        <v>3222.3307479999999</v>
      </c>
      <c r="AM207" s="14">
        <v>45</v>
      </c>
      <c r="AN207" s="14">
        <v>45</v>
      </c>
      <c r="AO207" s="14">
        <v>40</v>
      </c>
      <c r="AP207" s="14">
        <v>40</v>
      </c>
      <c r="AQ207" s="14">
        <v>40</v>
      </c>
      <c r="AR207" s="14">
        <v>35</v>
      </c>
      <c r="AS207" s="14">
        <v>35</v>
      </c>
      <c r="AT207" s="14">
        <v>40</v>
      </c>
      <c r="AU207" s="14">
        <v>40</v>
      </c>
      <c r="AV207" s="14">
        <v>40</v>
      </c>
      <c r="AW207" s="14">
        <v>60</v>
      </c>
      <c r="AX207" s="14">
        <v>60</v>
      </c>
    </row>
    <row r="208" spans="1:50" ht="20.100000000000001" customHeight="1">
      <c r="A208" s="3">
        <v>207</v>
      </c>
      <c r="B208" s="4" t="s">
        <v>205</v>
      </c>
      <c r="C208" s="10">
        <v>655.3116</v>
      </c>
      <c r="D208" s="10">
        <v>1606.2942</v>
      </c>
      <c r="E208" s="10">
        <v>1174.6904999999999</v>
      </c>
      <c r="F208" s="10">
        <v>331.0539</v>
      </c>
      <c r="G208" s="10">
        <v>591.91340000000002</v>
      </c>
      <c r="H208" s="10">
        <v>418.30829999999997</v>
      </c>
      <c r="I208" s="10">
        <v>327.65580880900001</v>
      </c>
      <c r="J208" s="10">
        <v>803.14707745099997</v>
      </c>
      <c r="K208" s="10">
        <v>587.34523687199999</v>
      </c>
      <c r="L208" s="10">
        <v>165.52693289800001</v>
      </c>
      <c r="M208" s="10">
        <v>324.38293655400003</v>
      </c>
      <c r="N208" s="10">
        <v>239.47335760920001</v>
      </c>
      <c r="O208" s="7">
        <v>-0.36930000000000002</v>
      </c>
      <c r="P208" s="7">
        <v>1.4512</v>
      </c>
      <c r="Q208" s="7">
        <v>-0.26869999999999999</v>
      </c>
      <c r="R208" s="7">
        <v>-0.71819999999999995</v>
      </c>
      <c r="S208" s="7">
        <v>0.78800000000000003</v>
      </c>
      <c r="T208" s="7">
        <v>-0.29330000000000001</v>
      </c>
      <c r="U208" s="7">
        <v>-0.36930000000000002</v>
      </c>
      <c r="V208" s="7">
        <v>1.4512</v>
      </c>
      <c r="W208" s="7">
        <v>-0.26869999999999999</v>
      </c>
      <c r="X208" s="7">
        <v>-0.71819999999999995</v>
      </c>
      <c r="Y208" s="7">
        <v>0.9597</v>
      </c>
      <c r="Z208" s="7">
        <v>-0.26179999999999998</v>
      </c>
      <c r="AA208" s="10">
        <v>9747</v>
      </c>
      <c r="AB208" s="10">
        <v>13442.5</v>
      </c>
      <c r="AC208" s="10">
        <v>8984.5</v>
      </c>
      <c r="AD208" s="10">
        <v>4950.5</v>
      </c>
      <c r="AE208" s="10">
        <v>6265.5</v>
      </c>
      <c r="AF208" s="10">
        <v>5883.5</v>
      </c>
      <c r="AG208" s="10">
        <v>7655.5</v>
      </c>
      <c r="AH208" s="10">
        <v>7315</v>
      </c>
      <c r="AI208" s="10">
        <v>6241.5</v>
      </c>
      <c r="AJ208" s="10">
        <v>6585</v>
      </c>
      <c r="AK208" s="10">
        <v>3900</v>
      </c>
      <c r="AL208" s="10">
        <v>5083</v>
      </c>
      <c r="AM208" s="14">
        <v>100</v>
      </c>
      <c r="AN208" s="14">
        <v>30</v>
      </c>
      <c r="AO208" s="14">
        <v>20</v>
      </c>
      <c r="AP208" s="14">
        <v>35</v>
      </c>
      <c r="AQ208" s="14">
        <v>35</v>
      </c>
      <c r="AR208" s="14">
        <v>35</v>
      </c>
      <c r="AS208" s="14">
        <v>35</v>
      </c>
      <c r="AT208" s="14">
        <v>35</v>
      </c>
      <c r="AU208" s="14">
        <v>35</v>
      </c>
      <c r="AV208" s="14">
        <v>35</v>
      </c>
      <c r="AW208" s="14">
        <v>100</v>
      </c>
      <c r="AX208" s="14">
        <v>100</v>
      </c>
    </row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</sheetData>
  <phoneticPr fontId="3" type="noConversion"/>
  <hyperlinks>
    <hyperlink ref="C1" location="#" tooltip="{&quot;FirstRow&quot;:1,&quot;FirstCol&quot;:3,&quot;LastRow&quot;:208,&quot;LastCol&quot;:26,&quot;Value&quot;:&quot;EPS&quot;,&quot;Refreshable&quot;:false}" display="#" xr:uid="{CDB45760-D051-4B9C-BF11-72DE1036BFD0}"/>
    <hyperlink ref="AA1" location="#" tooltip="{&quot;FirstRow&quot;:1,&quot;FirstCol&quot;:27,&quot;LastRow&quot;:208,&quot;LastCol&quot;:50,&quot;Value&quot;:&quot;MarketCap&quot;,&quot;Refreshable&quot;:false}" display="#" xr:uid="{7B5047EE-D9EB-4547-8A46-496119F50308}"/>
  </hyperlink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Scores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2025-11-03T11:18:31Z</dcterms:created>
  <dcterms:modified xsi:type="dcterms:W3CDTF">2025-11-20T06:20:12Z</dcterms:modified>
  <cp:category/>
</cp:coreProperties>
</file>